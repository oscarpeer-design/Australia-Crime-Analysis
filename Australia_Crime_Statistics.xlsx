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comments3.xml" ContentType="application/vnd.openxmlformats-officedocument.spreadsheetml.comments+xml"/>
  <Override PartName="/xl/threadedComments/threadedComment3.xml" ContentType="application/vnd.ms-excel.threadedcomments+xml"/>
  <Override PartName="/xl/comments4.xml" ContentType="application/vnd.openxmlformats-officedocument.spreadsheetml.comments+xml"/>
  <Override PartName="/xl/threadedComments/threadedComment4.xml" ContentType="application/vnd.ms-excel.threadedcomments+xml"/>
  <Override PartName="/xl/comments5.xml" ContentType="application/vnd.openxmlformats-officedocument.spreadsheetml.comments+xml"/>
  <Override PartName="/xl/threadedComments/threadedComment5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Oscar\source\repos\Australia Crime Statistics\"/>
    </mc:Choice>
  </mc:AlternateContent>
  <xr:revisionPtr revIDLastSave="0" documentId="13_ncr:1_{810038E7-535F-4670-83AC-5DF69DBB8184}" xr6:coauthVersionLast="47" xr6:coauthVersionMax="47" xr10:uidLastSave="{00000000-0000-0000-0000-000000000000}"/>
  <bookViews>
    <workbookView xWindow="-110" yWindow="-110" windowWidth="19420" windowHeight="11500" activeTab="3" xr2:uid="{00000000-000D-0000-FFFF-FFFF00000000}"/>
  </bookViews>
  <sheets>
    <sheet name="Crime Stats Per Suburb" sheetId="1" r:id="rId1"/>
    <sheet name="Education" sheetId="2" r:id="rId2"/>
    <sheet name="Alcohol Consumption" sheetId="7" r:id="rId3"/>
    <sheet name="Unemployment" sheetId="3" r:id="rId4"/>
    <sheet name="Poverty" sheetId="4" r:id="rId5"/>
    <sheet name="Sources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0" i="3" l="1"/>
  <c r="E9" i="3"/>
  <c r="E8" i="3"/>
  <c r="E7" i="3"/>
  <c r="E6" i="3"/>
  <c r="E5" i="3"/>
  <c r="E4" i="3"/>
  <c r="E3" i="3"/>
  <c r="E2" i="3"/>
  <c r="D87" i="3"/>
  <c r="E82" i="2"/>
  <c r="G82" i="2"/>
  <c r="D86" i="3"/>
  <c r="E81" i="2"/>
  <c r="G81" i="2"/>
  <c r="D85" i="3"/>
  <c r="E80" i="2"/>
  <c r="G80" i="2" s="1"/>
  <c r="D80" i="1" s="1"/>
  <c r="D84" i="3"/>
  <c r="E79" i="2"/>
  <c r="G79" i="2"/>
  <c r="D83" i="3"/>
  <c r="E78" i="2"/>
  <c r="G78" i="2"/>
  <c r="B77" i="1"/>
  <c r="D82" i="3"/>
  <c r="E77" i="2"/>
  <c r="G77" i="2" s="1"/>
  <c r="D77" i="1" s="1"/>
  <c r="D81" i="3"/>
  <c r="E76" i="2"/>
  <c r="G76" i="2" s="1"/>
  <c r="D76" i="1" s="1"/>
  <c r="D80" i="3"/>
  <c r="E80" i="3" s="1"/>
  <c r="F75" i="1" s="1"/>
  <c r="E75" i="2"/>
  <c r="G75" i="2" s="1"/>
  <c r="D75" i="1" s="1"/>
  <c r="D79" i="3"/>
  <c r="E79" i="3" s="1"/>
  <c r="F74" i="1" s="1"/>
  <c r="E74" i="2"/>
  <c r="G74" i="2" s="1"/>
  <c r="D74" i="1" s="1"/>
  <c r="D78" i="3"/>
  <c r="E78" i="3" s="1"/>
  <c r="F73" i="1" s="1"/>
  <c r="E73" i="2"/>
  <c r="G73" i="2" s="1"/>
  <c r="D73" i="1" s="1"/>
  <c r="B73" i="1"/>
  <c r="B79" i="1"/>
  <c r="B78" i="1"/>
  <c r="B81" i="1"/>
  <c r="B75" i="1"/>
  <c r="B76" i="1"/>
  <c r="B82" i="1"/>
  <c r="B80" i="1"/>
  <c r="B74" i="1"/>
  <c r="E73" i="1"/>
  <c r="E74" i="1"/>
  <c r="E75" i="1"/>
  <c r="E76" i="1"/>
  <c r="E77" i="1"/>
  <c r="E78" i="1"/>
  <c r="E79" i="1"/>
  <c r="E80" i="1"/>
  <c r="E81" i="1"/>
  <c r="E82" i="1"/>
  <c r="D78" i="1"/>
  <c r="D79" i="1"/>
  <c r="D81" i="1"/>
  <c r="D82" i="1"/>
  <c r="C73" i="1"/>
  <c r="C74" i="1"/>
  <c r="C75" i="1"/>
  <c r="C76" i="1"/>
  <c r="C77" i="1"/>
  <c r="C78" i="1"/>
  <c r="C79" i="1"/>
  <c r="C80" i="1"/>
  <c r="C81" i="1"/>
  <c r="C82" i="1"/>
  <c r="D77" i="3"/>
  <c r="E77" i="3" s="1"/>
  <c r="F72" i="1" s="1"/>
  <c r="E72" i="2"/>
  <c r="G72" i="2"/>
  <c r="B72" i="1"/>
  <c r="E71" i="2"/>
  <c r="G71" i="2" s="1"/>
  <c r="D71" i="1" s="1"/>
  <c r="D76" i="3"/>
  <c r="D75" i="3"/>
  <c r="E70" i="2"/>
  <c r="G70" i="2" s="1"/>
  <c r="D70" i="1" s="1"/>
  <c r="D74" i="3"/>
  <c r="E69" i="2"/>
  <c r="G69" i="2"/>
  <c r="D73" i="3"/>
  <c r="E68" i="2"/>
  <c r="G68" i="2" s="1"/>
  <c r="D68" i="1" s="1"/>
  <c r="D72" i="3"/>
  <c r="E72" i="3" s="1"/>
  <c r="F67" i="1" s="1"/>
  <c r="E67" i="2"/>
  <c r="G67" i="2" s="1"/>
  <c r="D67" i="1" s="1"/>
  <c r="D71" i="3"/>
  <c r="E66" i="2"/>
  <c r="G66" i="2"/>
  <c r="D66" i="1" s="1"/>
  <c r="D70" i="3"/>
  <c r="E65" i="2"/>
  <c r="G65" i="2" s="1"/>
  <c r="D65" i="1" s="1"/>
  <c r="E64" i="2"/>
  <c r="G64" i="2" s="1"/>
  <c r="D64" i="1" s="1"/>
  <c r="D69" i="3"/>
  <c r="E69" i="3" s="1"/>
  <c r="F64" i="1" s="1"/>
  <c r="D68" i="3"/>
  <c r="E63" i="2"/>
  <c r="G63" i="2"/>
  <c r="D63" i="1" s="1"/>
  <c r="D69" i="1"/>
  <c r="D72" i="1"/>
  <c r="B71" i="1"/>
  <c r="B70" i="1"/>
  <c r="B69" i="1"/>
  <c r="B68" i="1"/>
  <c r="B67" i="1"/>
  <c r="B66" i="1"/>
  <c r="B65" i="1"/>
  <c r="B64" i="1"/>
  <c r="B63" i="1"/>
  <c r="E63" i="1"/>
  <c r="E64" i="1"/>
  <c r="E65" i="1"/>
  <c r="E66" i="1"/>
  <c r="E67" i="1"/>
  <c r="E68" i="1"/>
  <c r="E69" i="1"/>
  <c r="E70" i="1"/>
  <c r="E71" i="1"/>
  <c r="E72" i="1"/>
  <c r="C63" i="1"/>
  <c r="C64" i="1"/>
  <c r="C65" i="1"/>
  <c r="C66" i="1"/>
  <c r="C67" i="1"/>
  <c r="C68" i="1"/>
  <c r="C69" i="1"/>
  <c r="C70" i="1"/>
  <c r="C71" i="1"/>
  <c r="C72" i="1"/>
  <c r="D67" i="3"/>
  <c r="E62" i="2"/>
  <c r="G62" i="2" s="1"/>
  <c r="D62" i="1" s="1"/>
  <c r="D66" i="3"/>
  <c r="E61" i="2"/>
  <c r="G61" i="2" s="1"/>
  <c r="D61" i="1" s="1"/>
  <c r="D65" i="3"/>
  <c r="E60" i="2"/>
  <c r="G60" i="2"/>
  <c r="D64" i="3"/>
  <c r="G59" i="2"/>
  <c r="E59" i="2"/>
  <c r="D63" i="3"/>
  <c r="E58" i="2"/>
  <c r="G58" i="2" s="1"/>
  <c r="D58" i="1" s="1"/>
  <c r="D62" i="3"/>
  <c r="E57" i="2"/>
  <c r="G57" i="2"/>
  <c r="D61" i="3"/>
  <c r="E56" i="2"/>
  <c r="G56" i="2" s="1"/>
  <c r="D56" i="1" s="1"/>
  <c r="D60" i="3"/>
  <c r="E55" i="2"/>
  <c r="G55" i="2" s="1"/>
  <c r="D55" i="1" s="1"/>
  <c r="D59" i="3"/>
  <c r="E54" i="2"/>
  <c r="G54" i="2" s="1"/>
  <c r="D54" i="1" s="1"/>
  <c r="D58" i="3"/>
  <c r="E53" i="2"/>
  <c r="G53" i="2"/>
  <c r="B62" i="1"/>
  <c r="B61" i="1"/>
  <c r="B59" i="1"/>
  <c r="B58" i="1"/>
  <c r="B57" i="1"/>
  <c r="B55" i="1"/>
  <c r="B60" i="1"/>
  <c r="B54" i="1"/>
  <c r="B56" i="1"/>
  <c r="B53" i="1"/>
  <c r="E53" i="1"/>
  <c r="E54" i="1"/>
  <c r="E55" i="1"/>
  <c r="E56" i="1"/>
  <c r="E57" i="1"/>
  <c r="E58" i="1"/>
  <c r="E59" i="1"/>
  <c r="E60" i="1"/>
  <c r="E61" i="1"/>
  <c r="E62" i="1"/>
  <c r="D53" i="1"/>
  <c r="D57" i="1"/>
  <c r="D59" i="1"/>
  <c r="D60" i="1"/>
  <c r="C53" i="1"/>
  <c r="C54" i="1"/>
  <c r="C55" i="1"/>
  <c r="C56" i="1"/>
  <c r="C57" i="1"/>
  <c r="C58" i="1"/>
  <c r="C59" i="1"/>
  <c r="C60" i="1"/>
  <c r="C61" i="1"/>
  <c r="C62" i="1"/>
  <c r="E52" i="1"/>
  <c r="D57" i="3"/>
  <c r="E52" i="2"/>
  <c r="G52" i="2" s="1"/>
  <c r="D52" i="1" s="1"/>
  <c r="D56" i="3"/>
  <c r="E51" i="2"/>
  <c r="G51" i="2"/>
  <c r="D55" i="3"/>
  <c r="E55" i="3" s="1"/>
  <c r="F50" i="1" s="1"/>
  <c r="E50" i="2"/>
  <c r="G50" i="2" s="1"/>
  <c r="D50" i="1" s="1"/>
  <c r="D54" i="3"/>
  <c r="E49" i="2"/>
  <c r="G49" i="2"/>
  <c r="D53" i="3"/>
  <c r="E48" i="2"/>
  <c r="G48" i="2" s="1"/>
  <c r="D48" i="1" s="1"/>
  <c r="D52" i="3"/>
  <c r="E47" i="2"/>
  <c r="G47" i="2" s="1"/>
  <c r="D47" i="1" s="1"/>
  <c r="D51" i="3"/>
  <c r="E51" i="3" s="1"/>
  <c r="F46" i="1" s="1"/>
  <c r="E46" i="2"/>
  <c r="G46" i="2" s="1"/>
  <c r="D46" i="1" s="1"/>
  <c r="D50" i="3"/>
  <c r="E50" i="3" s="1"/>
  <c r="F45" i="1" s="1"/>
  <c r="E45" i="2"/>
  <c r="G45" i="2"/>
  <c r="D49" i="3"/>
  <c r="E44" i="2"/>
  <c r="G44" i="2" s="1"/>
  <c r="D44" i="1" s="1"/>
  <c r="D48" i="3"/>
  <c r="E43" i="2"/>
  <c r="G43" i="2"/>
  <c r="D43" i="1" s="1"/>
  <c r="B52" i="1"/>
  <c r="B51" i="1"/>
  <c r="B50" i="1"/>
  <c r="B49" i="1"/>
  <c r="B48" i="1"/>
  <c r="B47" i="1"/>
  <c r="B46" i="1"/>
  <c r="B45" i="1"/>
  <c r="B44" i="1"/>
  <c r="B43" i="1"/>
  <c r="E43" i="1"/>
  <c r="E44" i="1"/>
  <c r="E45" i="1"/>
  <c r="E46" i="1"/>
  <c r="E47" i="1"/>
  <c r="E48" i="1"/>
  <c r="E49" i="1"/>
  <c r="E50" i="1"/>
  <c r="E51" i="1"/>
  <c r="D45" i="1"/>
  <c r="D49" i="1"/>
  <c r="D51" i="1"/>
  <c r="C43" i="1"/>
  <c r="C44" i="1"/>
  <c r="C45" i="1"/>
  <c r="C46" i="1"/>
  <c r="C47" i="1"/>
  <c r="C48" i="1"/>
  <c r="C49" i="1"/>
  <c r="C50" i="1"/>
  <c r="C51" i="1"/>
  <c r="C52" i="1"/>
  <c r="E36" i="1"/>
  <c r="E37" i="1"/>
  <c r="E38" i="1"/>
  <c r="E39" i="1"/>
  <c r="E40" i="1"/>
  <c r="E41" i="1"/>
  <c r="E42" i="1"/>
  <c r="E35" i="1"/>
  <c r="E34" i="1"/>
  <c r="E33" i="1"/>
  <c r="C42" i="1"/>
  <c r="C41" i="1"/>
  <c r="C40" i="1"/>
  <c r="C39" i="1"/>
  <c r="C38" i="1"/>
  <c r="C37" i="1"/>
  <c r="C36" i="1"/>
  <c r="C35" i="1"/>
  <c r="C34" i="1"/>
  <c r="C33" i="1"/>
  <c r="D47" i="3"/>
  <c r="E47" i="3" s="1"/>
  <c r="F42" i="1" s="1"/>
  <c r="E42" i="2"/>
  <c r="G42" i="2"/>
  <c r="D42" i="1" s="1"/>
  <c r="D46" i="3"/>
  <c r="E41" i="2"/>
  <c r="G41" i="2" s="1"/>
  <c r="D41" i="1" s="1"/>
  <c r="D45" i="3"/>
  <c r="E40" i="2"/>
  <c r="G40" i="2" s="1"/>
  <c r="D40" i="1" s="1"/>
  <c r="D44" i="3"/>
  <c r="E39" i="2"/>
  <c r="G39" i="2"/>
  <c r="D43" i="3"/>
  <c r="E43" i="3" s="1"/>
  <c r="F38" i="1" s="1"/>
  <c r="E38" i="2"/>
  <c r="G38" i="2"/>
  <c r="D38" i="1" s="1"/>
  <c r="D42" i="3"/>
  <c r="E42" i="3" s="1"/>
  <c r="F37" i="1" s="1"/>
  <c r="E37" i="2"/>
  <c r="G37" i="2" s="1"/>
  <c r="D37" i="1" s="1"/>
  <c r="D41" i="3"/>
  <c r="E36" i="2"/>
  <c r="G36" i="2" s="1"/>
  <c r="D36" i="1" s="1"/>
  <c r="D39" i="1"/>
  <c r="D40" i="3"/>
  <c r="D35" i="1"/>
  <c r="E35" i="2"/>
  <c r="G35" i="2" s="1"/>
  <c r="D39" i="3"/>
  <c r="D34" i="1"/>
  <c r="E34" i="2"/>
  <c r="G34" i="2"/>
  <c r="B42" i="1"/>
  <c r="B41" i="1"/>
  <c r="B40" i="1"/>
  <c r="B39" i="1"/>
  <c r="B34" i="1"/>
  <c r="B35" i="1"/>
  <c r="B36" i="1"/>
  <c r="B37" i="1"/>
  <c r="B38" i="1"/>
  <c r="D38" i="3"/>
  <c r="D33" i="1"/>
  <c r="B33" i="1"/>
  <c r="E33" i="2"/>
  <c r="G33" i="2" s="1"/>
  <c r="E24" i="1"/>
  <c r="E25" i="1"/>
  <c r="E26" i="1"/>
  <c r="E27" i="1"/>
  <c r="E28" i="1"/>
  <c r="E29" i="1"/>
  <c r="E30" i="1"/>
  <c r="E31" i="1"/>
  <c r="E32" i="1"/>
  <c r="E23" i="1"/>
  <c r="D24" i="1"/>
  <c r="D25" i="1"/>
  <c r="D26" i="1"/>
  <c r="D27" i="1"/>
  <c r="D28" i="1"/>
  <c r="D29" i="1"/>
  <c r="D30" i="1"/>
  <c r="D31" i="1"/>
  <c r="D32" i="1"/>
  <c r="D23" i="1"/>
  <c r="C25" i="1"/>
  <c r="C26" i="1"/>
  <c r="C27" i="1"/>
  <c r="C28" i="1"/>
  <c r="C29" i="1"/>
  <c r="C30" i="1"/>
  <c r="C31" i="1"/>
  <c r="C32" i="1"/>
  <c r="C24" i="1"/>
  <c r="C23" i="1"/>
  <c r="D37" i="3"/>
  <c r="D36" i="3"/>
  <c r="D35" i="3"/>
  <c r="D34" i="3"/>
  <c r="D33" i="3"/>
  <c r="D32" i="3"/>
  <c r="D31" i="3"/>
  <c r="D30" i="3"/>
  <c r="D29" i="3"/>
  <c r="D28" i="3"/>
  <c r="G31" i="2"/>
  <c r="E24" i="2"/>
  <c r="G24" i="2" s="1"/>
  <c r="E25" i="2"/>
  <c r="G25" i="2" s="1"/>
  <c r="E26" i="2"/>
  <c r="G26" i="2" s="1"/>
  <c r="E27" i="2"/>
  <c r="G27" i="2" s="1"/>
  <c r="E28" i="2"/>
  <c r="G28" i="2" s="1"/>
  <c r="E29" i="2"/>
  <c r="G29" i="2" s="1"/>
  <c r="E30" i="2"/>
  <c r="G30" i="2" s="1"/>
  <c r="E31" i="2"/>
  <c r="E32" i="2"/>
  <c r="G32" i="2" s="1"/>
  <c r="E23" i="2"/>
  <c r="G23" i="2" s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B3" i="1"/>
  <c r="B2" i="1"/>
  <c r="E12" i="1"/>
  <c r="E13" i="1"/>
  <c r="E14" i="1"/>
  <c r="E15" i="1"/>
  <c r="E16" i="1"/>
  <c r="E17" i="1"/>
  <c r="E18" i="1"/>
  <c r="E19" i="1"/>
  <c r="E20" i="1"/>
  <c r="E21" i="1"/>
  <c r="E22" i="1"/>
  <c r="E11" i="1"/>
  <c r="D12" i="1"/>
  <c r="D13" i="1"/>
  <c r="D14" i="1"/>
  <c r="D15" i="1"/>
  <c r="D16" i="1"/>
  <c r="D17" i="1"/>
  <c r="D18" i="1"/>
  <c r="D19" i="1"/>
  <c r="D20" i="1"/>
  <c r="D21" i="1"/>
  <c r="D22" i="1"/>
  <c r="D11" i="1"/>
  <c r="C12" i="1"/>
  <c r="C13" i="1"/>
  <c r="C14" i="1"/>
  <c r="C15" i="1"/>
  <c r="C16" i="1"/>
  <c r="C17" i="1"/>
  <c r="C18" i="1"/>
  <c r="C19" i="1"/>
  <c r="C20" i="1"/>
  <c r="C21" i="1"/>
  <c r="C22" i="1"/>
  <c r="C11" i="1"/>
  <c r="C7" i="1"/>
  <c r="C8" i="1"/>
  <c r="C9" i="1"/>
  <c r="C10" i="1"/>
  <c r="C6" i="1"/>
  <c r="C5" i="1"/>
  <c r="C4" i="1"/>
  <c r="C3" i="1"/>
  <c r="C2" i="1"/>
  <c r="D24" i="3"/>
  <c r="E17" i="2"/>
  <c r="G17" i="2" s="1"/>
  <c r="G18" i="2"/>
  <c r="E12" i="2"/>
  <c r="G12" i="2" s="1"/>
  <c r="E13" i="2"/>
  <c r="G13" i="2" s="1"/>
  <c r="E14" i="2"/>
  <c r="G14" i="2" s="1"/>
  <c r="E15" i="2"/>
  <c r="G15" i="2" s="1"/>
  <c r="E16" i="2"/>
  <c r="G16" i="2" s="1"/>
  <c r="E18" i="2"/>
  <c r="E19" i="2"/>
  <c r="G19" i="2" s="1"/>
  <c r="E21" i="2"/>
  <c r="G21" i="2" s="1"/>
  <c r="E20" i="2"/>
  <c r="G20" i="2" s="1"/>
  <c r="D17" i="3"/>
  <c r="D18" i="3"/>
  <c r="D19" i="3"/>
  <c r="D20" i="3"/>
  <c r="D21" i="3"/>
  <c r="D23" i="3"/>
  <c r="D22" i="3"/>
  <c r="D25" i="3"/>
  <c r="D26" i="3"/>
  <c r="D27" i="3"/>
  <c r="G22" i="2"/>
  <c r="E22" i="2"/>
  <c r="D16" i="3"/>
  <c r="G11" i="2"/>
  <c r="E11" i="2"/>
  <c r="D3" i="3"/>
  <c r="D4" i="3"/>
  <c r="D5" i="3"/>
  <c r="D6" i="3"/>
  <c r="D7" i="3"/>
  <c r="D8" i="3"/>
  <c r="D9" i="3"/>
  <c r="D10" i="3"/>
  <c r="C13" i="3"/>
  <c r="B12" i="3"/>
  <c r="B2" i="3"/>
  <c r="D2" i="3" s="1"/>
  <c r="E10" i="1"/>
  <c r="E9" i="1"/>
  <c r="E8" i="1"/>
  <c r="E7" i="1"/>
  <c r="E6" i="1"/>
  <c r="E5" i="1"/>
  <c r="E4" i="1"/>
  <c r="E3" i="1"/>
  <c r="E2" i="1"/>
  <c r="B10" i="4"/>
  <c r="B9" i="4"/>
  <c r="B6" i="4"/>
  <c r="E2" i="2"/>
  <c r="G2" i="2" s="1"/>
  <c r="D3" i="1" s="1"/>
  <c r="B3" i="4"/>
  <c r="E5" i="2"/>
  <c r="G5" i="2" s="1"/>
  <c r="D5" i="1" s="1"/>
  <c r="E6" i="2"/>
  <c r="G6" i="2" s="1"/>
  <c r="D6" i="1" s="1"/>
  <c r="E7" i="2"/>
  <c r="G7" i="2" s="1"/>
  <c r="D7" i="1" s="1"/>
  <c r="E8" i="2"/>
  <c r="G8" i="2" s="1"/>
  <c r="D8" i="1" s="1"/>
  <c r="E9" i="2"/>
  <c r="G9" i="2" s="1"/>
  <c r="D9" i="1" s="1"/>
  <c r="E10" i="2"/>
  <c r="G10" i="2" s="1"/>
  <c r="D10" i="1" s="1"/>
  <c r="E4" i="2"/>
  <c r="G4" i="2" s="1"/>
  <c r="D4" i="1" s="1"/>
  <c r="E3" i="2"/>
  <c r="G3" i="2" s="1"/>
  <c r="D2" i="1" s="1"/>
  <c r="E53" i="3" l="1"/>
  <c r="F48" i="1" s="1"/>
  <c r="E58" i="3"/>
  <c r="F53" i="1" s="1"/>
  <c r="E86" i="3"/>
  <c r="F81" i="1" s="1"/>
  <c r="E87" i="3"/>
  <c r="F82" i="1" s="1"/>
  <c r="E56" i="3"/>
  <c r="F51" i="1" s="1"/>
  <c r="E68" i="3"/>
  <c r="F63" i="1" s="1"/>
  <c r="E59" i="3"/>
  <c r="F54" i="1" s="1"/>
  <c r="E60" i="3"/>
  <c r="F55" i="1" s="1"/>
  <c r="E49" i="3"/>
  <c r="F44" i="1" s="1"/>
  <c r="E66" i="3"/>
  <c r="F61" i="1" s="1"/>
  <c r="E63" i="3"/>
  <c r="F58" i="1" s="1"/>
  <c r="E61" i="3"/>
  <c r="F56" i="1" s="1"/>
  <c r="E65" i="3"/>
  <c r="F60" i="1" s="1"/>
  <c r="E85" i="3"/>
  <c r="F80" i="1" s="1"/>
  <c r="E52" i="3"/>
  <c r="F47" i="1" s="1"/>
  <c r="E70" i="3"/>
  <c r="F65" i="1" s="1"/>
  <c r="E45" i="3"/>
  <c r="F40" i="1" s="1"/>
  <c r="E48" i="3"/>
  <c r="F43" i="1" s="1"/>
  <c r="E57" i="3"/>
  <c r="F52" i="1" s="1"/>
  <c r="E71" i="3"/>
  <c r="F66" i="1" s="1"/>
  <c r="E74" i="3"/>
  <c r="F69" i="1" s="1"/>
  <c r="E81" i="3"/>
  <c r="F76" i="1" s="1"/>
  <c r="E44" i="3"/>
  <c r="F39" i="1" s="1"/>
  <c r="E46" i="3"/>
  <c r="F41" i="1" s="1"/>
  <c r="E54" i="3"/>
  <c r="F49" i="1" s="1"/>
  <c r="E64" i="3"/>
  <c r="F59" i="1" s="1"/>
  <c r="E62" i="3"/>
  <c r="F57" i="1" s="1"/>
  <c r="E67" i="3"/>
  <c r="F62" i="1" s="1"/>
  <c r="E73" i="3"/>
  <c r="F68" i="1" s="1"/>
  <c r="E84" i="3"/>
  <c r="F79" i="1" s="1"/>
  <c r="E75" i="3"/>
  <c r="F70" i="1" s="1"/>
  <c r="E82" i="3"/>
  <c r="F77" i="1" s="1"/>
  <c r="E76" i="3"/>
  <c r="F71" i="1" s="1"/>
  <c r="E83" i="3"/>
  <c r="F78" i="1" s="1"/>
  <c r="E34" i="3"/>
  <c r="F29" i="1" s="1"/>
  <c r="E30" i="3"/>
  <c r="F25" i="1" s="1"/>
  <c r="E32" i="3"/>
  <c r="F27" i="1" s="1"/>
  <c r="F4" i="1"/>
  <c r="F10" i="1"/>
  <c r="F9" i="1"/>
  <c r="F5" i="1"/>
  <c r="F8" i="1"/>
  <c r="F7" i="1"/>
  <c r="F3" i="1"/>
  <c r="F6" i="1"/>
  <c r="F2" i="1"/>
  <c r="E23" i="3"/>
  <c r="F18" i="1" s="1"/>
  <c r="E21" i="3"/>
  <c r="F16" i="1" s="1"/>
  <c r="E20" i="3"/>
  <c r="F15" i="1" s="1"/>
  <c r="E19" i="3"/>
  <c r="F14" i="1" s="1"/>
  <c r="E18" i="3"/>
  <c r="F13" i="1" s="1"/>
  <c r="E17" i="3"/>
  <c r="F12" i="1" s="1"/>
  <c r="E25" i="3" l="1"/>
  <c r="F20" i="1" s="1"/>
  <c r="E41" i="3"/>
  <c r="F36" i="1" s="1"/>
  <c r="E29" i="3"/>
  <c r="F24" i="1" s="1"/>
  <c r="E38" i="3"/>
  <c r="F33" i="1" s="1"/>
  <c r="E37" i="3"/>
  <c r="F32" i="1" s="1"/>
  <c r="E24" i="3"/>
  <c r="F19" i="1" s="1"/>
  <c r="E35" i="3"/>
  <c r="F30" i="1" s="1"/>
  <c r="E40" i="3"/>
  <c r="F35" i="1" s="1"/>
  <c r="E26" i="3"/>
  <c r="F21" i="1" s="1"/>
  <c r="E31" i="3"/>
  <c r="F26" i="1" s="1"/>
  <c r="E36" i="3"/>
  <c r="F31" i="1" s="1"/>
  <c r="E33" i="3"/>
  <c r="F28" i="1" s="1"/>
  <c r="E28" i="3"/>
  <c r="F23" i="1" s="1"/>
  <c r="E39" i="3"/>
  <c r="F34" i="1" s="1"/>
  <c r="E22" i="3"/>
  <c r="F17" i="1" s="1"/>
  <c r="E27" i="3"/>
  <c r="F22" i="1" s="1"/>
  <c r="E16" i="3"/>
  <c r="F11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tc={FB300D4D-50B4-4146-875D-EEA1C814D333}</author>
    <author>tc={9F75872A-E42D-4FBE-83A8-BCE524F176C8}</author>
    <author>tc={95A41BDF-3F96-4215-973D-805FC39896C1}</author>
    <author>tc={AF38D1C2-5F53-4D87-8FF4-133D335809C9}</author>
    <author>tc={F6E97098-6815-4DEF-AB05-80E0FA468244}</author>
    <author>tc={FA7F3422-3BB2-40D9-B0B5-CA097F93FE90}</author>
    <author>tc={A9AB439B-CA07-4A73-B229-4ACC45E6D2E6}</author>
    <author>tc={49A6D503-A34F-4CD3-A30E-FFFAA4740432}</author>
    <author>tc={602726E8-AC40-443D-97A8-FDAC87407441}</author>
  </authors>
  <commentList>
    <comment ref="A1" authorId="0" shapeId="0" xr:uid="{FB300D4D-50B4-4146-875D-EEA1C814D333}">
      <text>
        <t>[Threaded comment]
Your version of Excel allows you to read this threaded comment; however, any edits to it will get removed if the file is opened in a newer version of Excel. Learn more: https://go.microsoft.com/fwlink/?linkid=870924
Comment:
    You need at least 80 suburbs to make this accurate. That means you need the top 10 highest crime suburbs in Darwin, as a start. If you still need more data, expand to Alice Springs.</t>
      </text>
    </comment>
    <comment ref="A2" authorId="1" shapeId="0" xr:uid="{9F75872A-E42D-4FBE-83A8-BCE524F176C8}">
      <text>
        <t>[Threaded comment]
Your version of Excel allows you to read this threaded comment; however, any edits to it will get removed if the file is opened in a newer version of Excel. Learn more: https://go.microsoft.com/fwlink/?linkid=870924
Comment:
    Sydney</t>
      </text>
    </comment>
    <comment ref="A11" authorId="2" shapeId="0" xr:uid="{95A41BDF-3F96-4215-973D-805FC39896C1}">
      <text>
        <t>[Threaded comment]
Your version of Excel allows you to read this threaded comment; however, any edits to it will get removed if the file is opened in a newer version of Excel. Learn more: https://go.microsoft.com/fwlink/?linkid=870924
Comment:
    Melbourne</t>
      </text>
    </comment>
    <comment ref="A23" authorId="3" shapeId="0" xr:uid="{AF38D1C2-5F53-4D87-8FF4-133D335809C9}">
      <text>
        <t>[Threaded comment]
Your version of Excel allows you to read this threaded comment; however, any edits to it will get removed if the file is opened in a newer version of Excel. Learn more: https://go.microsoft.com/fwlink/?linkid=870924
Comment:
    Canberra</t>
      </text>
    </comment>
    <comment ref="A33" authorId="4" shapeId="0" xr:uid="{F6E97098-6815-4DEF-AB05-80E0FA468244}">
      <text>
        <t>[Threaded comment]
Your version of Excel allows you to read this threaded comment; however, any edits to it will get removed if the file is opened in a newer version of Excel. Learn more: https://go.microsoft.com/fwlink/?linkid=870924
Comment:
    Adelaide</t>
      </text>
    </comment>
    <comment ref="A43" authorId="5" shapeId="0" xr:uid="{FA7F3422-3BB2-40D9-B0B5-CA097F93FE90}">
      <text>
        <t>[Threaded comment]
Your version of Excel allows you to read this threaded comment; however, any edits to it will get removed if the file is opened in a newer version of Excel. Learn more: https://go.microsoft.com/fwlink/?linkid=870924
Comment:
    Perth</t>
      </text>
    </comment>
    <comment ref="A53" authorId="6" shapeId="0" xr:uid="{A9AB439B-CA07-4A73-B229-4ACC45E6D2E6}">
      <text>
        <t>[Threaded comment]
Your version of Excel allows you to read this threaded comment; however, any edits to it will get removed if the file is opened in a newer version of Excel. Learn more: https://go.microsoft.com/fwlink/?linkid=870924
Comment:
    Hobart. Note that crime statistics in Adelaide are published by divisional level.</t>
      </text>
    </comment>
    <comment ref="A63" authorId="7" shapeId="0" xr:uid="{49A6D503-A34F-4CD3-A30E-FFFAA4740432}">
      <text>
        <t>[Threaded comment]
Your version of Excel allows you to read this threaded comment; however, any edits to it will get removed if the file is opened in a newer version of Excel. Learn more: https://go.microsoft.com/fwlink/?linkid=870924
Comment:
    Brisbane</t>
      </text>
    </comment>
    <comment ref="A73" authorId="8" shapeId="0" xr:uid="{602726E8-AC40-443D-97A8-FDAC87407441}">
      <text>
        <t>[Threaded comment]
Your version of Excel allows you to read this threaded comment; however, any edits to it will get removed if the file is opened in a newer version of Excel. Learn more: https://go.microsoft.com/fwlink/?linkid=870924
Comment:
    Darwin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tc={23F7D561-DA1B-42E8-9ABE-530F6B5D0D72}</author>
    <author>tc={A280C4AD-D722-4A4B-9080-3836BAA2998F}</author>
    <author>tc={E0081D58-C3A2-499B-991E-E08DDA2FB3F5}</author>
    <author>tc={79D83074-B2E7-4C43-A15E-A7FA291B18D4}</author>
    <author>tc={9D23A240-AA76-4821-8408-78C1289D0301}</author>
    <author>tc={CECD1170-17B6-4CAA-A235-7D06E224881B}</author>
  </authors>
  <commentList>
    <comment ref="A23" authorId="0" shapeId="0" xr:uid="{23F7D561-DA1B-42E8-9ABE-530F6B5D0D72}">
      <text>
        <t>[Threaded comment]
Your version of Excel allows you to read this threaded comment; however, any edits to it will get removed if the file is opened in a newer version of Excel. Learn more: https://go.microsoft.com/fwlink/?linkid=870924
Comment:
    Canberra</t>
      </text>
    </comment>
    <comment ref="A33" authorId="1" shapeId="0" xr:uid="{A280C4AD-D722-4A4B-9080-3836BAA2998F}">
      <text>
        <t>[Threaded comment]
Your version of Excel allows you to read this threaded comment; however, any edits to it will get removed if the file is opened in a newer version of Excel. Learn more: https://go.microsoft.com/fwlink/?linkid=870924
Comment:
    Adelaide</t>
      </text>
    </comment>
    <comment ref="A43" authorId="2" shapeId="0" xr:uid="{E0081D58-C3A2-499B-991E-E08DDA2FB3F5}">
      <text>
        <t>[Threaded comment]
Your version of Excel allows you to read this threaded comment; however, any edits to it will get removed if the file is opened in a newer version of Excel. Learn more: https://go.microsoft.com/fwlink/?linkid=870924
Comment:
    Perth</t>
      </text>
    </comment>
    <comment ref="A53" authorId="3" shapeId="0" xr:uid="{79D83074-B2E7-4C43-A15E-A7FA291B18D4}">
      <text>
        <t>[Threaded comment]
Your version of Excel allows you to read this threaded comment; however, any edits to it will get removed if the file is opened in a newer version of Excel. Learn more: https://go.microsoft.com/fwlink/?linkid=870924
Comment:
    Hobart. Note that crime statistics in Adelaide are published by divisional level.</t>
      </text>
    </comment>
    <comment ref="A63" authorId="4" shapeId="0" xr:uid="{9D23A240-AA76-4821-8408-78C1289D0301}">
      <text>
        <t>[Threaded comment]
Your version of Excel allows you to read this threaded comment; however, any edits to it will get removed if the file is opened in a newer version of Excel. Learn more: https://go.microsoft.com/fwlink/?linkid=870924
Comment:
    Brisbane</t>
      </text>
    </comment>
    <comment ref="A73" authorId="5" shapeId="0" xr:uid="{CECD1170-17B6-4CAA-A235-7D06E224881B}">
      <text>
        <t>[Threaded comment]
Your version of Excel allows you to read this threaded comment; however, any edits to it will get removed if the file is opened in a newer version of Excel. Learn more: https://go.microsoft.com/fwlink/?linkid=870924
Comment:
    Darwin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tc={CE2E5346-418B-43AB-96D7-6865D7BA5528}</author>
    <author>tc={BDB24D7F-A1DD-4305-8F4F-FDB74184ACC0}</author>
    <author>tc={B51BE828-5EA6-4839-AD50-A165AE8365DB}</author>
    <author>tc={9F8AAA0B-5F2B-477C-9E42-1D25940513C2}</author>
    <author>tc={519499FF-8568-4466-A702-3A2B10BF67D8}</author>
    <author>tc={1329804D-9D8B-41AA-8A43-43B23B84F9B4}</author>
    <author>tc={227A276D-92F6-4D5F-A80A-546A37B82483}</author>
    <author>tc={FA41EF37-BAEB-4BA4-9AD3-539FFF21CA14}</author>
  </authors>
  <commentList>
    <comment ref="A2" authorId="0" shapeId="0" xr:uid="{CE2E5346-418B-43AB-96D7-6865D7BA5528}">
      <text>
        <t>[Threaded comment]
Your version of Excel allows you to read this threaded comment; however, any edits to it will get removed if the file is opened in a newer version of Excel. Learn more: https://go.microsoft.com/fwlink/?linkid=870924
Comment:
    Sydney</t>
      </text>
    </comment>
    <comment ref="A11" authorId="1" shapeId="0" xr:uid="{BDB24D7F-A1DD-4305-8F4F-FDB74184ACC0}">
      <text>
        <t>[Threaded comment]
Your version of Excel allows you to read this threaded comment; however, any edits to it will get removed if the file is opened in a newer version of Excel. Learn more: https://go.microsoft.com/fwlink/?linkid=870924
Comment:
    Melbourne</t>
      </text>
    </comment>
    <comment ref="A23" authorId="2" shapeId="0" xr:uid="{B51BE828-5EA6-4839-AD50-A165AE8365DB}">
      <text>
        <t>[Threaded comment]
Your version of Excel allows you to read this threaded comment; however, any edits to it will get removed if the file is opened in a newer version of Excel. Learn more: https://go.microsoft.com/fwlink/?linkid=870924
Comment:
    Canberra</t>
      </text>
    </comment>
    <comment ref="A33" authorId="3" shapeId="0" xr:uid="{9F8AAA0B-5F2B-477C-9E42-1D25940513C2}">
      <text>
        <t>[Threaded comment]
Your version of Excel allows you to read this threaded comment; however, any edits to it will get removed if the file is opened in a newer version of Excel. Learn more: https://go.microsoft.com/fwlink/?linkid=870924
Comment:
    Adelaide</t>
      </text>
    </comment>
    <comment ref="A43" authorId="4" shapeId="0" xr:uid="{519499FF-8568-4466-A702-3A2B10BF67D8}">
      <text>
        <t>[Threaded comment]
Your version of Excel allows you to read this threaded comment; however, any edits to it will get removed if the file is opened in a newer version of Excel. Learn more: https://go.microsoft.com/fwlink/?linkid=870924
Comment:
    Perth</t>
      </text>
    </comment>
    <comment ref="A53" authorId="5" shapeId="0" xr:uid="{1329804D-9D8B-41AA-8A43-43B23B84F9B4}">
      <text>
        <t>[Threaded comment]
Your version of Excel allows you to read this threaded comment; however, any edits to it will get removed if the file is opened in a newer version of Excel. Learn more: https://go.microsoft.com/fwlink/?linkid=870924
Comment:
    Hobart. Note that crime statistics in Adelaide are published by divisional level.</t>
      </text>
    </comment>
    <comment ref="A63" authorId="6" shapeId="0" xr:uid="{227A276D-92F6-4D5F-A80A-546A37B82483}">
      <text>
        <t>[Threaded comment]
Your version of Excel allows you to read this threaded comment; however, any edits to it will get removed if the file is opened in a newer version of Excel. Learn more: https://go.microsoft.com/fwlink/?linkid=870924
Comment:
    Brisbane</t>
      </text>
    </comment>
    <comment ref="A73" authorId="7" shapeId="0" xr:uid="{FA41EF37-BAEB-4BA4-9AD3-539FFF21CA14}">
      <text>
        <t>[Threaded comment]
Your version of Excel allows you to read this threaded comment; however, any edits to it will get removed if the file is opened in a newer version of Excel. Learn more: https://go.microsoft.com/fwlink/?linkid=870924
Comment:
    Darwin</t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tc={EE8D8D71-B13A-4712-966B-40C2F19B8D01}</author>
    <author>tc={7FB133AE-9B15-4B15-8892-DB1DFBF86F73}</author>
    <author>tc={3F14066E-08EF-40E6-B0DF-7C312F73AB36}</author>
    <author>tc={F75108B9-4841-40AA-8E06-D9B96C2111B0}</author>
    <author>tc={EE8112E5-D0CA-4DCE-9879-194FA06A74CB}</author>
    <author>tc={5CEEC050-F02D-4E81-8F3C-DFEE8713C76A}</author>
    <author>tc={FA5CC980-8B03-49B2-8BB5-E753410C9650}</author>
    <author>tc={BF9297C6-4727-4C6E-860A-9E1C34CAACAF}</author>
  </authors>
  <commentList>
    <comment ref="A2" authorId="0" shapeId="0" xr:uid="{EE8D8D71-B13A-4712-966B-40C2F19B8D01}">
      <text>
        <t>[Threaded comment]
Your version of Excel allows you to read this threaded comment; however, any edits to it will get removed if the file is opened in a newer version of Excel. Learn more: https://go.microsoft.com/fwlink/?linkid=870924
Comment:
    Sydney</t>
      </text>
    </comment>
    <comment ref="A16" authorId="1" shapeId="0" xr:uid="{7FB133AE-9B15-4B15-8892-DB1DFBF86F73}">
      <text>
        <t>[Threaded comment]
Your version of Excel allows you to read this threaded comment; however, any edits to it will get removed if the file is opened in a newer version of Excel. Learn more: https://go.microsoft.com/fwlink/?linkid=870924
Comment:
    Melbourne</t>
      </text>
    </comment>
    <comment ref="A28" authorId="2" shapeId="0" xr:uid="{3F14066E-08EF-40E6-B0DF-7C312F73AB36}">
      <text>
        <t>[Threaded comment]
Your version of Excel allows you to read this threaded comment; however, any edits to it will get removed if the file is opened in a newer version of Excel. Learn more: https://go.microsoft.com/fwlink/?linkid=870924
Comment:
    Canberra</t>
      </text>
    </comment>
    <comment ref="A38" authorId="3" shapeId="0" xr:uid="{F75108B9-4841-40AA-8E06-D9B96C2111B0}">
      <text>
        <t>[Threaded comment]
Your version of Excel allows you to read this threaded comment; however, any edits to it will get removed if the file is opened in a newer version of Excel. Learn more: https://go.microsoft.com/fwlink/?linkid=870924
Comment:
    Adelaide</t>
      </text>
    </comment>
    <comment ref="A48" authorId="4" shapeId="0" xr:uid="{EE8112E5-D0CA-4DCE-9879-194FA06A74CB}">
      <text>
        <t>[Threaded comment]
Your version of Excel allows you to read this threaded comment; however, any edits to it will get removed if the file is opened in a newer version of Excel. Learn more: https://go.microsoft.com/fwlink/?linkid=870924
Comment:
    Perth</t>
      </text>
    </comment>
    <comment ref="A58" authorId="5" shapeId="0" xr:uid="{5CEEC050-F02D-4E81-8F3C-DFEE8713C76A}">
      <text>
        <t>[Threaded comment]
Your version of Excel allows you to read this threaded comment; however, any edits to it will get removed if the file is opened in a newer version of Excel. Learn more: https://go.microsoft.com/fwlink/?linkid=870924
Comment:
    Hobart. Note that crime statistics in Adelaide are published by divisional level.</t>
      </text>
    </comment>
    <comment ref="A68" authorId="6" shapeId="0" xr:uid="{FA5CC980-8B03-49B2-8BB5-E753410C9650}">
      <text>
        <t>[Threaded comment]
Your version of Excel allows you to read this threaded comment; however, any edits to it will get removed if the file is opened in a newer version of Excel. Learn more: https://go.microsoft.com/fwlink/?linkid=870924
Comment:
    Brisbane</t>
      </text>
    </comment>
    <comment ref="A78" authorId="7" shapeId="0" xr:uid="{BF9297C6-4727-4C6E-860A-9E1C34CAACAF}">
      <text>
        <t>[Threaded comment]
Your version of Excel allows you to read this threaded comment; however, any edits to it will get removed if the file is opened in a newer version of Excel. Learn more: https://go.microsoft.com/fwlink/?linkid=870924
Comment:
    Darwin</t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tc={4E23513E-E05D-4D1C-89D0-E5C6F5C35D5C}</author>
    <author>tc={479221F1-E8FA-42BA-8725-4B27D771695C}</author>
    <author>tc={D9E2D0EF-8E64-4EA5-AB38-37EB258D8A2B}</author>
    <author>tc={623AE51A-64F8-440B-BEA3-1E05E14353F1}</author>
    <author>tc={86C660A6-3B46-4A02-9BA9-751ED77CBB43}</author>
    <author>tc={3B9BE6C3-D12F-4671-AFB7-30090986574D}</author>
    <author>tc={35432ABD-68FE-4E33-8474-FDF967B66BC5}</author>
    <author>tc={8B708BFF-E323-4D15-8CEF-A1424764C447}</author>
  </authors>
  <commentList>
    <comment ref="A2" authorId="0" shapeId="0" xr:uid="{4E23513E-E05D-4D1C-89D0-E5C6F5C35D5C}">
      <text>
        <t>[Threaded comment]
Your version of Excel allows you to read this threaded comment; however, any edits to it will get removed if the file is opened in a newer version of Excel. Learn more: https://go.microsoft.com/fwlink/?linkid=870924
Comment:
    Sydney</t>
      </text>
    </comment>
    <comment ref="A15" authorId="1" shapeId="0" xr:uid="{479221F1-E8FA-42BA-8725-4B27D771695C}">
      <text>
        <t>[Threaded comment]
Your version of Excel allows you to read this threaded comment; however, any edits to it will get removed if the file is opened in a newer version of Excel. Learn more: https://go.microsoft.com/fwlink/?linkid=870924
Comment:
    Melbourne</t>
      </text>
    </comment>
    <comment ref="A27" authorId="2" shapeId="0" xr:uid="{D9E2D0EF-8E64-4EA5-AB38-37EB258D8A2B}">
      <text>
        <t>[Threaded comment]
Your version of Excel allows you to read this threaded comment; however, any edits to it will get removed if the file is opened in a newer version of Excel. Learn more: https://go.microsoft.com/fwlink/?linkid=870924
Comment:
    Canberra</t>
      </text>
    </comment>
    <comment ref="A37" authorId="3" shapeId="0" xr:uid="{623AE51A-64F8-440B-BEA3-1E05E14353F1}">
      <text>
        <t>[Threaded comment]
Your version of Excel allows you to read this threaded comment; however, any edits to it will get removed if the file is opened in a newer version of Excel. Learn more: https://go.microsoft.com/fwlink/?linkid=870924
Comment:
    Adelaide</t>
      </text>
    </comment>
    <comment ref="A47" authorId="4" shapeId="0" xr:uid="{86C660A6-3B46-4A02-9BA9-751ED77CBB43}">
      <text>
        <t>[Threaded comment]
Your version of Excel allows you to read this threaded comment; however, any edits to it will get removed if the file is opened in a newer version of Excel. Learn more: https://go.microsoft.com/fwlink/?linkid=870924
Comment:
    Perth</t>
      </text>
    </comment>
    <comment ref="A57" authorId="5" shapeId="0" xr:uid="{3B9BE6C3-D12F-4671-AFB7-30090986574D}">
      <text>
        <t>[Threaded comment]
Your version of Excel allows you to read this threaded comment; however, any edits to it will get removed if the file is opened in a newer version of Excel. Learn more: https://go.microsoft.com/fwlink/?linkid=870924
Comment:
    Hobart. Note that crime statistics in Adelaide are published by divisional level.</t>
      </text>
    </comment>
    <comment ref="A67" authorId="6" shapeId="0" xr:uid="{35432ABD-68FE-4E33-8474-FDF967B66BC5}">
      <text>
        <t>[Threaded comment]
Your version of Excel allows you to read this threaded comment; however, any edits to it will get removed if the file is opened in a newer version of Excel. Learn more: https://go.microsoft.com/fwlink/?linkid=870924
Comment:
    Brisbane</t>
      </text>
    </comment>
    <comment ref="A77" authorId="7" shapeId="0" xr:uid="{8B708BFF-E323-4D15-8CEF-A1424764C447}">
      <text>
        <t>[Threaded comment]
Your version of Excel allows you to read this threaded comment; however, any edits to it will get removed if the file is opened in a newer version of Excel. Learn more: https://go.microsoft.com/fwlink/?linkid=870924
Comment:
    Darwin</t>
      </text>
    </comment>
  </commentList>
</comments>
</file>

<file path=xl/sharedStrings.xml><?xml version="1.0" encoding="utf-8"?>
<sst xmlns="http://schemas.openxmlformats.org/spreadsheetml/2006/main" count="465" uniqueCount="128">
  <si>
    <t>Suburb</t>
  </si>
  <si>
    <t>Blacktown</t>
  </si>
  <si>
    <t>CBD</t>
  </si>
  <si>
    <t>Penrith</t>
  </si>
  <si>
    <t>Mount Druitt</t>
  </si>
  <si>
    <t>Campbelltown</t>
  </si>
  <si>
    <t>Liverpool</t>
  </si>
  <si>
    <t>Paramatta</t>
  </si>
  <si>
    <t>St Marys</t>
  </si>
  <si>
    <t>Surry Hills</t>
  </si>
  <si>
    <t>Year 9 or below</t>
  </si>
  <si>
    <t>Inadequately Described</t>
  </si>
  <si>
    <t>No Educational Attainment</t>
  </si>
  <si>
    <t>Total</t>
  </si>
  <si>
    <t>https://abs.gov.au/census/find-census-data/quickstats/2021/117</t>
  </si>
  <si>
    <t>https://abs.gov.au/census/find-census-data/quickstats/2021/LGA10750</t>
  </si>
  <si>
    <t>https://abs.gov.au/census/find-census-data/quickstats/2021/SAL13714</t>
  </si>
  <si>
    <t>https://abs.gov.au/census/find-census-data/quickstats/2021/LGA16350</t>
  </si>
  <si>
    <t>https://abs.gov.au/census/find-census-data/quickstats/2021/SAL12767</t>
  </si>
  <si>
    <t>https://www.abs.gov.au/census/find-census-data/quickstats/2021/LGA11500</t>
  </si>
  <si>
    <t>https://abs.gov.au/census/find-census-data/quickstats/2021/LGA14900</t>
  </si>
  <si>
    <t>https://www.abs.gov.au/census/find-census-data/quickstats/2021/LGA16260</t>
  </si>
  <si>
    <t>https://abs.gov.au/census/find-census-data/quickstats/2021/SAL13658</t>
  </si>
  <si>
    <t>Population</t>
  </si>
  <si>
    <t>Percentage</t>
  </si>
  <si>
    <t>https://chatgpt.com/c/690d7409-b5f0-8323-ad05-481eececa02a</t>
  </si>
  <si>
    <t>Overall Crime Stats</t>
  </si>
  <si>
    <t>Weekly Recommended Alcohol Consumption</t>
  </si>
  <si>
    <t>Alcohol Consumption</t>
  </si>
  <si>
    <t>Low Income Household:</t>
  </si>
  <si>
    <t>Percentage Below Low Income Line</t>
  </si>
  <si>
    <t>Poverty</t>
  </si>
  <si>
    <t>https://www.abs.gov.au/census/find-census-data/quickstats/2021/116?utm_source=chatgpt.com</t>
  </si>
  <si>
    <t>Households Below Low Income Line</t>
  </si>
  <si>
    <t>Median Weekly Income below gross value of $650 per week per household</t>
  </si>
  <si>
    <t>Households</t>
  </si>
  <si>
    <t>Proportion who refused to state if they were in labour force</t>
  </si>
  <si>
    <t>Proportion Not In Labour Force</t>
  </si>
  <si>
    <t>National Proportion Outside Labour Force</t>
  </si>
  <si>
    <t>National Proportion Refused to state if they were in labour force</t>
  </si>
  <si>
    <t>Proportion Low Income Households</t>
  </si>
  <si>
    <t>National Total</t>
  </si>
  <si>
    <t>Total Disparity In Labour Force</t>
  </si>
  <si>
    <t>Sydney CBD</t>
  </si>
  <si>
    <t>Melbourne CBD</t>
  </si>
  <si>
    <t>Yarra</t>
  </si>
  <si>
    <t>Frankston</t>
  </si>
  <si>
    <t>Campbellfield</t>
  </si>
  <si>
    <t xml:space="preserve">Docklands </t>
  </si>
  <si>
    <t>Broadmeadows</t>
  </si>
  <si>
    <t>St Kilda</t>
  </si>
  <si>
    <t>Melton</t>
  </si>
  <si>
    <t>Werribe</t>
  </si>
  <si>
    <t>https://www.crimestatistics.vic.gov.au/crime-statistics/latest-crime-data-by-area</t>
  </si>
  <si>
    <t>Southbank</t>
  </si>
  <si>
    <t>Carlton</t>
  </si>
  <si>
    <t>Education Levels Year 9 and Below</t>
  </si>
  <si>
    <t>Morwell</t>
  </si>
  <si>
    <t>Sydney CBD and South</t>
  </si>
  <si>
    <t>Daily maximum safe alcohol consumption</t>
  </si>
  <si>
    <t>https://www.google.com/search?q=risky+alcohol+consumption+southbank+victoria&amp;sca_esv=72372a46cdac1766&amp;rlz=1C1ONGR_enAU1027AU1027&amp;sxsrf=ANbL-n5QfhjHEKzfKJpnnvWZYkQckt-r9w%3A1771040641702&amp;udm=50&amp;fbs=ADc_l-aN0CWEZBOHjofHoaMMDiKpaEWjvZ2Py1XXV8d8KvlI3p-ML-906rRL_m6h4jR-tdAeyw6pOVABma0FfM0NmtARdcuGnZVoiSrEQCt2b10nLpXfp_br5K9gAh-TQhLPkaHBtLmn0tz30EfEzwQQNIGBo7V5X8o_GSLLrPozKSwR65BedD1rccPZR5nEKAbQKlfKLtThFU0GV4KIdILZXC12o41Lmg&amp;aep=1&amp;ntc=1&amp;sa=X&amp;ved=2ahUKEwjA_NLCiNiSAxXFr1YBHRI5IZ4Q2J8OegQIEBAE&amp;biw=1280&amp;bih=631&amp;dpr=1.5&amp;mstk=AUtExfDpjfNz1hZY3dfnoXZUMRjZcocpybBs1EM6hLKg67syvLvuyLjAOaTa3hI3Kp_w1TNnB-KdeBzqFJTonlzcoZEG8LB4dSetx3qFH7t26IUTuAfMdZ8yuSg8qhL44fYGe1GHhDixcyPKKUknnA40CIffFPZeRmJ57e2ozdhoibYOkAjIsbcM3oBLLrY2cxXyAS8qcSTr51rVDl1-_UcAFTU2yORJq7MS9h-NuxS0nAQrClQJPZFUxrfPXh4xYQ8GeF2qxKjT5AJxNKQlVBpyC8HuiLNDBgU0QtnHFGUtDAo8z10xI0XmNYdvbTXhn7c4vu6iaWWy8UbR_g&amp;csuir=1&amp;mtid=he-PacGmOouE4-EPl6SBsQ4</t>
  </si>
  <si>
    <t>Civic</t>
  </si>
  <si>
    <t>Belconnen</t>
  </si>
  <si>
    <t>Kambah</t>
  </si>
  <si>
    <t>Phillip</t>
  </si>
  <si>
    <t>Gungahlin</t>
  </si>
  <si>
    <t>Braddon</t>
  </si>
  <si>
    <t>Ngunnawal</t>
  </si>
  <si>
    <t>Richardson</t>
  </si>
  <si>
    <t>Charnwood</t>
  </si>
  <si>
    <t>Narrabundah</t>
  </si>
  <si>
    <t>Total Crimes Per Population 2025</t>
  </si>
  <si>
    <t>High Risk Alcohol Consumption</t>
  </si>
  <si>
    <t>This measures the proportion of the population that drinks at highly risky amounts over the daily maximum safe alcohol consumption level, at least oncea week.</t>
  </si>
  <si>
    <t>Percentage Very High Risk Drinking (in LGA or LHD)</t>
  </si>
  <si>
    <t>Non-Sydney Suburb ABS Data</t>
  </si>
  <si>
    <t>https://www.abs.gov.au/census/find-census-data/search-by-area</t>
  </si>
  <si>
    <t>Adelaide CBD</t>
  </si>
  <si>
    <t>Sailsbury</t>
  </si>
  <si>
    <t>Elizabeth</t>
  </si>
  <si>
    <t>Daveron Park</t>
  </si>
  <si>
    <t>Oaklands Park</t>
  </si>
  <si>
    <t>Paralowie</t>
  </si>
  <si>
    <t>Ingle Farm</t>
  </si>
  <si>
    <t>Glenelg</t>
  </si>
  <si>
    <t>Port Adelaide</t>
  </si>
  <si>
    <t>Gepps Cross</t>
  </si>
  <si>
    <t>Perth CBD</t>
  </si>
  <si>
    <t>Northbridge</t>
  </si>
  <si>
    <t>Armadale</t>
  </si>
  <si>
    <t>Fremantle</t>
  </si>
  <si>
    <t>Gosnells</t>
  </si>
  <si>
    <t>Cannington</t>
  </si>
  <si>
    <t>Cloverdale</t>
  </si>
  <si>
    <t>Rockingham</t>
  </si>
  <si>
    <t>Midland</t>
  </si>
  <si>
    <t>Bentley</t>
  </si>
  <si>
    <t>Glenorchy</t>
  </si>
  <si>
    <t>Bridgewater</t>
  </si>
  <si>
    <t>Hobart CBD</t>
  </si>
  <si>
    <t>North Hobart</t>
  </si>
  <si>
    <t>Gagebrook</t>
  </si>
  <si>
    <t>Clarendon Vale</t>
  </si>
  <si>
    <t>Warrane</t>
  </si>
  <si>
    <t>Moonah</t>
  </si>
  <si>
    <t>Rokeby</t>
  </si>
  <si>
    <t>Mornington</t>
  </si>
  <si>
    <t>Fortitude Valley</t>
  </si>
  <si>
    <t>West End</t>
  </si>
  <si>
    <t>Upper Mount Gravatt</t>
  </si>
  <si>
    <t>Richlands</t>
  </si>
  <si>
    <t>Aspley</t>
  </si>
  <si>
    <t>Chermside</t>
  </si>
  <si>
    <t>Dutton Park</t>
  </si>
  <si>
    <t>Logan Central</t>
  </si>
  <si>
    <t>Everton Park</t>
  </si>
  <si>
    <t>Sunnybank</t>
  </si>
  <si>
    <t>Karama</t>
  </si>
  <si>
    <t>Gray</t>
  </si>
  <si>
    <t>Malak</t>
  </si>
  <si>
    <t>Bakewell</t>
  </si>
  <si>
    <t>Woodroffe</t>
  </si>
  <si>
    <t>Driver</t>
  </si>
  <si>
    <t>Zuccoli</t>
  </si>
  <si>
    <t>Coconut Grove</t>
  </si>
  <si>
    <t>Nightcliff</t>
  </si>
  <si>
    <t>Palmerston City</t>
  </si>
  <si>
    <t>Non Workforce Participation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</si>
</sst>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222222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5">
    <xf numFmtId="0" fontId="0" fillId="0" borderId="0" xfId="0"/>
    <xf numFmtId="0" fontId="1" fillId="0" borderId="0" xfId="0" applyFont="1"/>
    <xf numFmtId="3" fontId="0" fillId="0" borderId="0" xfId="0" applyNumberFormat="1"/>
    <xf numFmtId="0" fontId="2" fillId="0" borderId="0" xfId="1"/>
    <xf numFmtId="0" fontId="3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Oscar Peer" id="{9A0203A3-FD0B-4174-9535-815B698E53D4}" userId="S::Oscar.Peer@student.uts.edu.au::c493b8c1-69ec-4455-9a10-00b5a2dd12eb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1" dT="2026-02-14T04:10:07.26" personId="{9A0203A3-FD0B-4174-9535-815B698E53D4}" id="{FB300D4D-50B4-4146-875D-EEA1C814D333}">
    <text>You need at least 80 suburbs to make this accurate. That means you need the top 10 highest crime suburbs in Darwin, as a start. If you still need more data, expand to Alice Springs.</text>
  </threadedComment>
  <threadedComment ref="A2" dT="2026-02-14T06:00:42.28" personId="{9A0203A3-FD0B-4174-9535-815B698E53D4}" id="{9F75872A-E42D-4FBE-83A8-BCE524F176C8}">
    <text>Sydney</text>
  </threadedComment>
  <threadedComment ref="A11" dT="2026-02-14T06:00:56.87" personId="{9A0203A3-FD0B-4174-9535-815B698E53D4}" id="{95A41BDF-3F96-4215-973D-805FC39896C1}">
    <text>Melbourne</text>
  </threadedComment>
  <threadedComment ref="A23" dT="2026-02-14T06:01:07.57" personId="{9A0203A3-FD0B-4174-9535-815B698E53D4}" id="{AF38D1C2-5F53-4D87-8FF4-133D335809C9}">
    <text>Canberra</text>
  </threadedComment>
  <threadedComment ref="A33" dT="2026-02-14T06:01:19.77" personId="{9A0203A3-FD0B-4174-9535-815B698E53D4}" id="{F6E97098-6815-4DEF-AB05-80E0FA468244}">
    <text>Adelaide</text>
  </threadedComment>
  <threadedComment ref="A43" dT="2026-02-19T03:49:39.02" personId="{9A0203A3-FD0B-4174-9535-815B698E53D4}" id="{FA7F3422-3BB2-40D9-B0B5-CA097F93FE90}">
    <text>Perth</text>
  </threadedComment>
  <threadedComment ref="A53" dT="2026-02-21T01:44:18.21" personId="{9A0203A3-FD0B-4174-9535-815B698E53D4}" id="{A9AB439B-CA07-4A73-B229-4ACC45E6D2E6}">
    <text>Hobart. Note that crime statistics in Adelaide are published by divisional level.</text>
  </threadedComment>
  <threadedComment ref="A63" dT="2026-02-26T06:50:38.75" personId="{9A0203A3-FD0B-4174-9535-815B698E53D4}" id="{49A6D503-A34F-4CD3-A30E-FFFAA4740432}">
    <text>Brisbane</text>
  </threadedComment>
  <threadedComment ref="A73" dT="2026-02-26T21:49:19.83" personId="{9A0203A3-FD0B-4174-9535-815B698E53D4}" id="{602726E8-AC40-443D-97A8-FDAC87407441}">
    <text>Darwin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A23" dT="2026-02-14T06:01:07.57" personId="{9A0203A3-FD0B-4174-9535-815B698E53D4}" id="{23F7D561-DA1B-42E8-9ABE-530F6B5D0D72}">
    <text>Canberra</text>
  </threadedComment>
  <threadedComment ref="A33" dT="2026-02-14T06:01:19.77" personId="{9A0203A3-FD0B-4174-9535-815B698E53D4}" id="{A280C4AD-D722-4A4B-9080-3836BAA2998F}">
    <text>Adelaide</text>
  </threadedComment>
  <threadedComment ref="A43" dT="2026-02-19T03:49:39.02" personId="{9A0203A3-FD0B-4174-9535-815B698E53D4}" id="{E0081D58-C3A2-499B-991E-E08DDA2FB3F5}">
    <text>Perth</text>
  </threadedComment>
  <threadedComment ref="A53" dT="2026-02-21T01:44:18.21" personId="{9A0203A3-FD0B-4174-9535-815B698E53D4}" id="{79D83074-B2E7-4C43-A15E-A7FA291B18D4}">
    <text>Hobart. Note that crime statistics in Adelaide are published by divisional level.</text>
  </threadedComment>
  <threadedComment ref="A63" dT="2026-02-26T06:50:38.75" personId="{9A0203A3-FD0B-4174-9535-815B698E53D4}" id="{9D23A240-AA76-4821-8408-78C1289D0301}">
    <text>Brisbane</text>
  </threadedComment>
  <threadedComment ref="A73" dT="2026-02-26T21:49:19.83" personId="{9A0203A3-FD0B-4174-9535-815B698E53D4}" id="{CECD1170-17B6-4CAA-A235-7D06E224881B}">
    <text>Darwin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A2" dT="2026-02-14T06:09:12.32" personId="{9A0203A3-FD0B-4174-9535-815B698E53D4}" id="{CE2E5346-418B-43AB-96D7-6865D7BA5528}">
    <text>Sydney</text>
  </threadedComment>
  <threadedComment ref="A11" dT="2026-02-14T06:09:06.93" personId="{9A0203A3-FD0B-4174-9535-815B698E53D4}" id="{BDB24D7F-A1DD-4305-8F4F-FDB74184ACC0}">
    <text>Melbourne</text>
  </threadedComment>
  <threadedComment ref="A23" dT="2026-02-14T06:01:07.57" personId="{9A0203A3-FD0B-4174-9535-815B698E53D4}" id="{B51BE828-5EA6-4839-AD50-A165AE8365DB}">
    <text>Canberra</text>
  </threadedComment>
  <threadedComment ref="A33" dT="2026-02-14T06:01:19.77" personId="{9A0203A3-FD0B-4174-9535-815B698E53D4}" id="{9F8AAA0B-5F2B-477C-9E42-1D25940513C2}">
    <text>Adelaide</text>
  </threadedComment>
  <threadedComment ref="A43" dT="2026-02-19T03:49:39.02" personId="{9A0203A3-FD0B-4174-9535-815B698E53D4}" id="{519499FF-8568-4466-A702-3A2B10BF67D8}">
    <text>Perth</text>
  </threadedComment>
  <threadedComment ref="A53" dT="2026-02-21T01:44:18.21" personId="{9A0203A3-FD0B-4174-9535-815B698E53D4}" id="{1329804D-9D8B-41AA-8A43-43B23B84F9B4}">
    <text>Hobart. Note that crime statistics in Adelaide are published by divisional level.</text>
  </threadedComment>
  <threadedComment ref="A63" dT="2026-02-26T06:50:38.75" personId="{9A0203A3-FD0B-4174-9535-815B698E53D4}" id="{227A276D-92F6-4D5F-A80A-546A37B82483}">
    <text>Brisbane</text>
  </threadedComment>
  <threadedComment ref="A73" dT="2026-02-26T21:49:19.83" personId="{9A0203A3-FD0B-4174-9535-815B698E53D4}" id="{FA41EF37-BAEB-4BA4-9AD3-539FFF21CA14}">
    <text>Darwin</text>
  </threadedComment>
</ThreadedComments>
</file>

<file path=xl/threadedComments/threadedComment4.xml><?xml version="1.0" encoding="utf-8"?>
<ThreadedComments xmlns="http://schemas.microsoft.com/office/spreadsheetml/2018/threadedcomments" xmlns:x="http://schemas.openxmlformats.org/spreadsheetml/2006/main">
  <threadedComment ref="A2" dT="2026-02-14T06:09:28.24" personId="{9A0203A3-FD0B-4174-9535-815B698E53D4}" id="{EE8D8D71-B13A-4712-966B-40C2F19B8D01}">
    <text>Sydney</text>
  </threadedComment>
  <threadedComment ref="A16" dT="2026-02-14T06:09:35.20" personId="{9A0203A3-FD0B-4174-9535-815B698E53D4}" id="{7FB133AE-9B15-4B15-8892-DB1DFBF86F73}">
    <text>Melbourne</text>
  </threadedComment>
  <threadedComment ref="A28" dT="2026-02-14T06:01:07.57" personId="{9A0203A3-FD0B-4174-9535-815B698E53D4}" id="{3F14066E-08EF-40E6-B0DF-7C312F73AB36}">
    <text>Canberra</text>
  </threadedComment>
  <threadedComment ref="A38" dT="2026-02-14T06:01:19.77" personId="{9A0203A3-FD0B-4174-9535-815B698E53D4}" id="{F75108B9-4841-40AA-8E06-D9B96C2111B0}">
    <text>Adelaide</text>
  </threadedComment>
  <threadedComment ref="A48" dT="2026-02-19T03:49:39.02" personId="{9A0203A3-FD0B-4174-9535-815B698E53D4}" id="{EE8112E5-D0CA-4DCE-9879-194FA06A74CB}">
    <text>Perth</text>
  </threadedComment>
  <threadedComment ref="A58" dT="2026-02-21T01:44:18.21" personId="{9A0203A3-FD0B-4174-9535-815B698E53D4}" id="{5CEEC050-F02D-4E81-8F3C-DFEE8713C76A}">
    <text>Hobart. Note that crime statistics in Adelaide are published by divisional level.</text>
  </threadedComment>
  <threadedComment ref="A68" dT="2026-02-26T06:50:38.75" personId="{9A0203A3-FD0B-4174-9535-815B698E53D4}" id="{FA5CC980-8B03-49B2-8BB5-E753410C9650}">
    <text>Brisbane</text>
  </threadedComment>
  <threadedComment ref="A78" dT="2026-02-26T21:49:19.83" personId="{9A0203A3-FD0B-4174-9535-815B698E53D4}" id="{BF9297C6-4727-4C6E-860A-9E1C34CAACAF}">
    <text>Darwin</text>
  </threadedComment>
</ThreadedComments>
</file>

<file path=xl/threadedComments/threadedComment5.xml><?xml version="1.0" encoding="utf-8"?>
<ThreadedComments xmlns="http://schemas.microsoft.com/office/spreadsheetml/2018/threadedcomments" xmlns:x="http://schemas.openxmlformats.org/spreadsheetml/2006/main">
  <threadedComment ref="A2" dT="2026-02-14T06:09:50.65" personId="{9A0203A3-FD0B-4174-9535-815B698E53D4}" id="{4E23513E-E05D-4D1C-89D0-E5C6F5C35D5C}">
    <text>Sydney</text>
  </threadedComment>
  <threadedComment ref="A15" dT="2026-02-14T06:09:45.45" personId="{9A0203A3-FD0B-4174-9535-815B698E53D4}" id="{479221F1-E8FA-42BA-8725-4B27D771695C}">
    <text>Melbourne</text>
  </threadedComment>
  <threadedComment ref="A27" dT="2026-02-14T06:01:07.57" personId="{9A0203A3-FD0B-4174-9535-815B698E53D4}" id="{D9E2D0EF-8E64-4EA5-AB38-37EB258D8A2B}">
    <text>Canberra</text>
  </threadedComment>
  <threadedComment ref="A37" dT="2026-02-14T06:01:19.77" personId="{9A0203A3-FD0B-4174-9535-815B698E53D4}" id="{623AE51A-64F8-440B-BEA3-1E05E14353F1}">
    <text>Adelaide</text>
  </threadedComment>
  <threadedComment ref="A47" dT="2026-02-19T03:49:39.02" personId="{9A0203A3-FD0B-4174-9535-815B698E53D4}" id="{86C660A6-3B46-4A02-9BA9-751ED77CBB43}">
    <text>Perth</text>
  </threadedComment>
  <threadedComment ref="A57" dT="2026-02-21T01:44:18.21" personId="{9A0203A3-FD0B-4174-9535-815B698E53D4}" id="{3B9BE6C3-D12F-4671-AFB7-30090986574D}">
    <text>Hobart. Note that crime statistics in Adelaide are published by divisional level.</text>
  </threadedComment>
  <threadedComment ref="A67" dT="2026-02-26T06:50:38.75" personId="{9A0203A3-FD0B-4174-9535-815B698E53D4}" id="{35432ABD-68FE-4E33-8474-FDF967B66BC5}">
    <text>Brisbane</text>
  </threadedComment>
  <threadedComment ref="A77" dT="2026-02-26T21:49:19.83" personId="{9A0203A3-FD0B-4174-9535-815B698E53D4}" id="{8B708BFF-E323-4D15-8CEF-A1424764C447}">
    <text>Darwin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3.xml"/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4.xml"/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5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5.xml"/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6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abs.gov.au/census/find-census-data/quickstats/2021/LGA16260" TargetMode="External"/><Relationship Id="rId13" Type="http://schemas.openxmlformats.org/officeDocument/2006/relationships/hyperlink" Target="https://www.crimestatistics.vic.gov.au/crime-statistics/latest-crime-data-by-area" TargetMode="External"/><Relationship Id="rId3" Type="http://schemas.openxmlformats.org/officeDocument/2006/relationships/hyperlink" Target="https://abs.gov.au/census/find-census-data/quickstats/2021/SAL13714" TargetMode="External"/><Relationship Id="rId7" Type="http://schemas.openxmlformats.org/officeDocument/2006/relationships/hyperlink" Target="https://abs.gov.au/census/find-census-data/quickstats/2021/LGA14900" TargetMode="External"/><Relationship Id="rId12" Type="http://schemas.openxmlformats.org/officeDocument/2006/relationships/hyperlink" Target="https://www.abs.gov.au/census/find-census-data/quickstats/2021/116?utm_source=chatgpt.com" TargetMode="External"/><Relationship Id="rId2" Type="http://schemas.openxmlformats.org/officeDocument/2006/relationships/hyperlink" Target="https://abs.gov.au/census/find-census-data/quickstats/2021/LGA10750" TargetMode="External"/><Relationship Id="rId1" Type="http://schemas.openxmlformats.org/officeDocument/2006/relationships/hyperlink" Target="https://abs.gov.au/census/find-census-data/quickstats/2021/117" TargetMode="External"/><Relationship Id="rId6" Type="http://schemas.openxmlformats.org/officeDocument/2006/relationships/hyperlink" Target="https://www.abs.gov.au/census/find-census-data/quickstats/2021/LGA11500" TargetMode="External"/><Relationship Id="rId11" Type="http://schemas.openxmlformats.org/officeDocument/2006/relationships/hyperlink" Target="https://www.healthstats.nsw.gov.au/indicator?name=-beh-alc-freq-phs&amp;location=LHD&amp;view=Trend&amp;measure=prevalence&amp;groups=Drinking%20frequency&amp;compare=Drinking%20frequency&amp;filter=LHD,Sydney%20LHD&amp;filter=Drinking%20frequency,Never,Less%20than%20weekly,Weekly,Daily" TargetMode="External"/><Relationship Id="rId5" Type="http://schemas.openxmlformats.org/officeDocument/2006/relationships/hyperlink" Target="https://abs.gov.au/census/find-census-data/quickstats/2021/SAL12767" TargetMode="External"/><Relationship Id="rId10" Type="http://schemas.openxmlformats.org/officeDocument/2006/relationships/hyperlink" Target="https://chatgpt.com/c/690d7409-b5f0-8323-ad05-481eececa02a" TargetMode="External"/><Relationship Id="rId4" Type="http://schemas.openxmlformats.org/officeDocument/2006/relationships/hyperlink" Target="https://abs.gov.au/census/find-census-data/quickstats/2021/LGA16350" TargetMode="External"/><Relationship Id="rId9" Type="http://schemas.openxmlformats.org/officeDocument/2006/relationships/hyperlink" Target="https://abs.gov.au/census/find-census-data/quickstats/2021/SAL13658" TargetMode="External"/><Relationship Id="rId14" Type="http://schemas.openxmlformats.org/officeDocument/2006/relationships/hyperlink" Target="https://www.abs.gov.au/census/find-census-data/search-by-are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82"/>
  <sheetViews>
    <sheetView topLeftCell="C1" workbookViewId="0">
      <selection activeCell="F2" sqref="F2"/>
    </sheetView>
  </sheetViews>
  <sheetFormatPr defaultRowHeight="14.5" x14ac:dyDescent="0.35"/>
  <cols>
    <col min="1" max="1" width="20.453125" customWidth="1"/>
    <col min="2" max="2" width="35.6328125" customWidth="1"/>
    <col min="3" max="3" width="32" customWidth="1"/>
    <col min="4" max="4" width="33.54296875" customWidth="1"/>
    <col min="5" max="5" width="31.08984375" customWidth="1"/>
    <col min="6" max="6" width="39.08984375" bestFit="1" customWidth="1"/>
    <col min="7" max="7" width="33.6328125" customWidth="1"/>
  </cols>
  <sheetData>
    <row r="1" spans="1:6" x14ac:dyDescent="0.35">
      <c r="A1" s="1" t="s">
        <v>0</v>
      </c>
      <c r="B1" s="1" t="s">
        <v>71</v>
      </c>
      <c r="C1" s="1" t="s">
        <v>72</v>
      </c>
      <c r="D1" s="1" t="s">
        <v>56</v>
      </c>
      <c r="E1" s="1" t="s">
        <v>40</v>
      </c>
      <c r="F1" s="1" t="s">
        <v>127</v>
      </c>
    </row>
    <row r="2" spans="1:6" x14ac:dyDescent="0.35">
      <c r="A2" t="s">
        <v>1</v>
      </c>
      <c r="B2">
        <f>12912/Education!F3</f>
        <v>3.2542290864366795E-2</v>
      </c>
      <c r="C2">
        <f>'Alcohol Consumption'!B2</f>
        <v>8.5000000000000006E-2</v>
      </c>
      <c r="D2">
        <f>Education!G3</f>
        <v>8.3195556182833641E-2</v>
      </c>
      <c r="E2">
        <f>Poverty!B2</f>
        <v>0.125</v>
      </c>
      <c r="F2">
        <f>Unemployment!E2</f>
        <v>0.33700000000000002</v>
      </c>
    </row>
    <row r="3" spans="1:6" x14ac:dyDescent="0.35">
      <c r="A3" t="s">
        <v>43</v>
      </c>
      <c r="B3">
        <f>8742/Education!F2</f>
        <v>0.5577033492822967</v>
      </c>
      <c r="C3">
        <f>'Alcohol Consumption'!B3</f>
        <v>0.18</v>
      </c>
      <c r="D3">
        <f>Education!G2</f>
        <v>3.6299840510366825E-2</v>
      </c>
      <c r="E3">
        <f>Poverty!B3</f>
        <v>0.17028149515459159</v>
      </c>
      <c r="F3">
        <f>Unemployment!E3</f>
        <v>0.25</v>
      </c>
    </row>
    <row r="4" spans="1:6" x14ac:dyDescent="0.35">
      <c r="A4" t="s">
        <v>3</v>
      </c>
      <c r="B4">
        <f>8328/Education!F4</f>
        <v>3.826080564539841E-2</v>
      </c>
      <c r="C4">
        <f>'Alcohol Consumption'!B4</f>
        <v>0.09</v>
      </c>
      <c r="D4">
        <f>Education!G4</f>
        <v>9.0350264628050569E-2</v>
      </c>
      <c r="E4">
        <f>Poverty!B4</f>
        <v>0.13500000000000001</v>
      </c>
      <c r="F4">
        <f>Unemployment!E4</f>
        <v>0.317</v>
      </c>
    </row>
    <row r="5" spans="1:6" x14ac:dyDescent="0.35">
      <c r="A5" t="s">
        <v>4</v>
      </c>
      <c r="B5">
        <f>10654/Education!F5</f>
        <v>0.62722241846226301</v>
      </c>
      <c r="C5">
        <f>'Alcohol Consumption'!B5</f>
        <v>8.5000000000000006E-2</v>
      </c>
      <c r="D5">
        <f>Education!G5</f>
        <v>6.97044624985282E-2</v>
      </c>
      <c r="E5">
        <f>Poverty!B5</f>
        <v>0.16600000000000001</v>
      </c>
      <c r="F5">
        <f>Unemployment!E5</f>
        <v>0.41599999999999998</v>
      </c>
    </row>
    <row r="6" spans="1:6" x14ac:dyDescent="0.35">
      <c r="A6" t="s">
        <v>5</v>
      </c>
      <c r="B6">
        <f>7913/Education!F6</f>
        <v>4.4828035508925383E-2</v>
      </c>
      <c r="C6">
        <f>'Alcohol Consumption'!B6</f>
        <v>0.09</v>
      </c>
      <c r="D6">
        <f>Education!G6</f>
        <v>9.2607594649867717E-2</v>
      </c>
      <c r="E6">
        <f>Poverty!B6</f>
        <v>0.19451055053149294</v>
      </c>
      <c r="F6">
        <f>Unemployment!E6</f>
        <v>0.373</v>
      </c>
    </row>
    <row r="7" spans="1:6" x14ac:dyDescent="0.35">
      <c r="A7" t="s">
        <v>6</v>
      </c>
      <c r="B7">
        <f>15069/Education!F7</f>
        <v>6.4550260017305933E-2</v>
      </c>
      <c r="C7">
        <f>'Alcohol Consumption'!B7</f>
        <v>8.5000000000000006E-2</v>
      </c>
      <c r="D7">
        <f>Education!G7</f>
        <v>0.11039383840374219</v>
      </c>
      <c r="E7">
        <f>Poverty!B7</f>
        <v>0.151</v>
      </c>
      <c r="F7">
        <f>Unemployment!E7</f>
        <v>0.40400000000000003</v>
      </c>
    </row>
    <row r="8" spans="1:6" x14ac:dyDescent="0.35">
      <c r="A8" t="s">
        <v>7</v>
      </c>
      <c r="B8">
        <f>10116/Education!F8</f>
        <v>3.9403417611567064E-2</v>
      </c>
      <c r="C8">
        <f>'Alcohol Consumption'!B8</f>
        <v>7.0000000000000007E-2</v>
      </c>
      <c r="D8">
        <f>Education!G8</f>
        <v>6.3272945401571301E-2</v>
      </c>
      <c r="E8">
        <f>Poverty!B8</f>
        <v>0.13100000000000001</v>
      </c>
      <c r="F8">
        <f>Unemployment!E8</f>
        <v>0.33</v>
      </c>
    </row>
    <row r="9" spans="1:6" x14ac:dyDescent="0.35">
      <c r="A9" t="s">
        <v>8</v>
      </c>
      <c r="B9">
        <f>7356/Education!F9</f>
        <v>0.55491852745926373</v>
      </c>
      <c r="C9">
        <f>'Alcohol Consumption'!B9</f>
        <v>0.09</v>
      </c>
      <c r="D9">
        <f>Education!G9</f>
        <v>9.8521424260712129E-2</v>
      </c>
      <c r="E9">
        <f>Poverty!B9</f>
        <v>0.18235170823726682</v>
      </c>
      <c r="F9">
        <f>Unemployment!E9</f>
        <v>0.35299999999999998</v>
      </c>
    </row>
    <row r="10" spans="1:6" x14ac:dyDescent="0.35">
      <c r="A10" t="s">
        <v>9</v>
      </c>
      <c r="B10">
        <f>5188/Education!F10</f>
        <v>0.32777356583270156</v>
      </c>
      <c r="C10">
        <f>'Alcohol Consumption'!B10</f>
        <v>0.18</v>
      </c>
      <c r="D10">
        <f>Education!G10</f>
        <v>2.6408895628001011E-2</v>
      </c>
      <c r="E10">
        <f>Poverty!B10</f>
        <v>0.13760288065843621</v>
      </c>
      <c r="F10">
        <f>Unemployment!E10</f>
        <v>0.21199999999999999</v>
      </c>
    </row>
    <row r="11" spans="1:6" x14ac:dyDescent="0.35">
      <c r="A11" t="s">
        <v>44</v>
      </c>
      <c r="B11">
        <f>18024/Education!F11</f>
        <v>0.32806101090260459</v>
      </c>
      <c r="C11">
        <f>'Alcohol Consumption'!B11</f>
        <v>0.13500000000000001</v>
      </c>
      <c r="D11">
        <f>Education!G11</f>
        <v>3.1379115778744471E-2</v>
      </c>
      <c r="E11">
        <f>Poverty!B15</f>
        <v>0.18</v>
      </c>
      <c r="F11">
        <f>Unemployment!E16</f>
        <v>0.218</v>
      </c>
    </row>
    <row r="12" spans="1:6" x14ac:dyDescent="0.35">
      <c r="A12" t="s">
        <v>45</v>
      </c>
      <c r="B12">
        <f>4111/Education!F12</f>
        <v>1.4299130434782608</v>
      </c>
      <c r="C12">
        <f>'Alcohol Consumption'!B12</f>
        <v>0.22</v>
      </c>
      <c r="D12">
        <f>Education!G12</f>
        <v>0.10991304347826086</v>
      </c>
      <c r="E12">
        <f>Poverty!B16</f>
        <v>0.13200000000000001</v>
      </c>
      <c r="F12">
        <f>Unemployment!E17</f>
        <v>0.38</v>
      </c>
    </row>
    <row r="13" spans="1:6" x14ac:dyDescent="0.35">
      <c r="A13" t="s">
        <v>55</v>
      </c>
      <c r="B13">
        <f>2694/Education!F13</f>
        <v>0.16779819370912488</v>
      </c>
      <c r="C13">
        <f>'Alcohol Consumption'!B13</f>
        <v>0.22</v>
      </c>
      <c r="D13">
        <f>Education!G13</f>
        <v>4.1046402989722827E-2</v>
      </c>
      <c r="E13">
        <f>Poverty!B17</f>
        <v>0.29699999999999999</v>
      </c>
      <c r="F13">
        <f>Unemployment!E18</f>
        <v>0.30599999999999999</v>
      </c>
    </row>
    <row r="14" spans="1:6" x14ac:dyDescent="0.35">
      <c r="A14" t="s">
        <v>46</v>
      </c>
      <c r="B14">
        <f>9307/Education!F14</f>
        <v>0.2493102247461895</v>
      </c>
      <c r="C14">
        <f>'Alcohol Consumption'!B14</f>
        <v>0.108</v>
      </c>
      <c r="D14">
        <f>Education!G14</f>
        <v>8.5183895422035305E-2</v>
      </c>
      <c r="E14">
        <f>Poverty!B18</f>
        <v>0.22</v>
      </c>
      <c r="F14">
        <f>Unemployment!E19</f>
        <v>0.33700000000000002</v>
      </c>
    </row>
    <row r="15" spans="1:6" x14ac:dyDescent="0.35">
      <c r="A15" t="s">
        <v>47</v>
      </c>
      <c r="B15">
        <f>8169/Education!F15</f>
        <v>1.6413502109704641</v>
      </c>
      <c r="C15">
        <f>'Alcohol Consumption'!B15</f>
        <v>7.5999999999999998E-2</v>
      </c>
      <c r="D15">
        <f>Education!G15</f>
        <v>0.21719911593329314</v>
      </c>
      <c r="E15">
        <f>Poverty!B19</f>
        <v>0.248</v>
      </c>
      <c r="F15">
        <f>Unemployment!E20</f>
        <v>0.50800000000000001</v>
      </c>
    </row>
    <row r="16" spans="1:6" x14ac:dyDescent="0.35">
      <c r="A16" t="s">
        <v>48</v>
      </c>
      <c r="B16">
        <f>3037/Education!F16</f>
        <v>0.19599870926105195</v>
      </c>
      <c r="C16">
        <f>'Alcohol Consumption'!B16</f>
        <v>0.13500000000000001</v>
      </c>
      <c r="D16">
        <f>Education!G16</f>
        <v>3.2462084543401097E-2</v>
      </c>
      <c r="E16">
        <f>Poverty!B20</f>
        <v>0.13900000000000001</v>
      </c>
      <c r="F16">
        <f>Unemployment!E21</f>
        <v>0.19900000000000001</v>
      </c>
    </row>
    <row r="17" spans="1:6" x14ac:dyDescent="0.35">
      <c r="A17" t="s">
        <v>54</v>
      </c>
      <c r="B17">
        <f>3322/Education!F17</f>
        <v>0.1467898015995758</v>
      </c>
      <c r="C17">
        <f>'Alcohol Consumption'!B17</f>
        <v>0.13500000000000001</v>
      </c>
      <c r="D17">
        <f>Education!G17</f>
        <v>2.8765852149706155E-2</v>
      </c>
      <c r="E17">
        <f>Poverty!B21</f>
        <v>0.11899999999999999</v>
      </c>
      <c r="F17">
        <f>Unemployment!E22</f>
        <v>0.16600000000000001</v>
      </c>
    </row>
    <row r="18" spans="1:6" x14ac:dyDescent="0.35">
      <c r="A18" t="s">
        <v>49</v>
      </c>
      <c r="B18">
        <f>3932/Education!F18</f>
        <v>0.3139572021718301</v>
      </c>
      <c r="C18">
        <f>'Alcohol Consumption'!B18</f>
        <v>7.5999999999999998E-2</v>
      </c>
      <c r="D18">
        <f>Education!G18</f>
        <v>0.15993292877674864</v>
      </c>
      <c r="E18">
        <f>Poverty!B22</f>
        <v>0.255</v>
      </c>
      <c r="F18">
        <f>Unemployment!E23</f>
        <v>0.45100000000000001</v>
      </c>
    </row>
    <row r="19" spans="1:6" x14ac:dyDescent="0.35">
      <c r="A19" t="s">
        <v>50</v>
      </c>
      <c r="B19">
        <f>4364/Education!F19</f>
        <v>0.22390969728065674</v>
      </c>
      <c r="C19">
        <f>'Alcohol Consumption'!B19</f>
        <v>0.20599999999999999</v>
      </c>
      <c r="D19">
        <f>Education!G19</f>
        <v>4.1303232426885585E-2</v>
      </c>
      <c r="E19">
        <f>Poverty!B23</f>
        <v>0.14099999999999999</v>
      </c>
      <c r="F19">
        <f>Unemployment!E24</f>
        <v>0.191</v>
      </c>
    </row>
    <row r="20" spans="1:6" x14ac:dyDescent="0.35">
      <c r="A20" t="s">
        <v>51</v>
      </c>
      <c r="B20">
        <f>16827/Education!F20</f>
        <v>2.1158053564692567</v>
      </c>
      <c r="C20">
        <f>'Alcohol Consumption'!B20</f>
        <v>0.09</v>
      </c>
      <c r="D20">
        <f>Education!G20</f>
        <v>0.13428894756695586</v>
      </c>
      <c r="E20">
        <f>Poverty!B24</f>
        <v>0.26600000000000001</v>
      </c>
      <c r="F20">
        <f>Unemployment!E25</f>
        <v>0.44400000000000001</v>
      </c>
    </row>
    <row r="21" spans="1:6" x14ac:dyDescent="0.35">
      <c r="A21" t="s">
        <v>52</v>
      </c>
      <c r="B21">
        <f>5644/Education!F21</f>
        <v>0.11281907769804306</v>
      </c>
      <c r="C21">
        <f>'Alcohol Consumption'!B21</f>
        <v>9.6000000000000002E-2</v>
      </c>
      <c r="D21">
        <f>Education!G21</f>
        <v>0.1065824454794411</v>
      </c>
      <c r="E21">
        <f>Poverty!B25</f>
        <v>0.161</v>
      </c>
      <c r="F21">
        <f>Unemployment!E26</f>
        <v>0.318</v>
      </c>
    </row>
    <row r="22" spans="1:6" x14ac:dyDescent="0.35">
      <c r="A22" t="s">
        <v>57</v>
      </c>
      <c r="B22">
        <f>14011/Education!F22</f>
        <v>0.97372993258739315</v>
      </c>
      <c r="C22">
        <f>'Alcohol Consumption'!B22</f>
        <v>7.5999999999999998E-2</v>
      </c>
      <c r="D22">
        <f>Education!G22</f>
        <v>0.13955104593786921</v>
      </c>
      <c r="E22">
        <f>Poverty!B26</f>
        <v>0.32300000000000001</v>
      </c>
      <c r="F22">
        <f>Unemployment!E27</f>
        <v>0.44900000000000001</v>
      </c>
    </row>
    <row r="23" spans="1:6" x14ac:dyDescent="0.35">
      <c r="A23" t="s">
        <v>61</v>
      </c>
      <c r="B23">
        <f>1120/Education!F23</f>
        <v>0.23164426059979318</v>
      </c>
      <c r="C23">
        <f>'Alcohol Consumption'!B23</f>
        <v>0.26800000000000002</v>
      </c>
      <c r="D23">
        <f>Education!G23</f>
        <v>1.6339193381592555E-2</v>
      </c>
      <c r="E23">
        <f>Poverty!B27</f>
        <v>0.11899999999999999</v>
      </c>
      <c r="F23">
        <f>Unemployment!E28</f>
        <v>0.21199999999999999</v>
      </c>
    </row>
    <row r="24" spans="1:6" x14ac:dyDescent="0.35">
      <c r="A24" t="s">
        <v>62</v>
      </c>
      <c r="B24">
        <f>980/Education!F24</f>
        <v>0.11526699600094095</v>
      </c>
      <c r="C24">
        <f>'Alcohol Consumption'!B24</f>
        <v>0.185</v>
      </c>
      <c r="D24">
        <f>Education!G24</f>
        <v>3.4697718183956713E-2</v>
      </c>
      <c r="E24">
        <f>Poverty!B28</f>
        <v>0.105</v>
      </c>
      <c r="F24">
        <f>Unemployment!E29</f>
        <v>0.219</v>
      </c>
    </row>
    <row r="25" spans="1:6" x14ac:dyDescent="0.35">
      <c r="A25" t="s">
        <v>63</v>
      </c>
      <c r="B25">
        <f>620/Education!F24</f>
        <v>7.2924017878146313E-2</v>
      </c>
      <c r="C25">
        <f>'Alcohol Consumption'!B25</f>
        <v>0.185</v>
      </c>
      <c r="D25">
        <f>Education!G25</f>
        <v>7.0325462667517546E-2</v>
      </c>
      <c r="E25">
        <f>Poverty!B29</f>
        <v>0.1</v>
      </c>
      <c r="F25">
        <f>Unemployment!E30</f>
        <v>0.33500000000000002</v>
      </c>
    </row>
    <row r="26" spans="1:6" x14ac:dyDescent="0.35">
      <c r="A26" t="s">
        <v>64</v>
      </c>
      <c r="B26">
        <f>550/Education!F26</f>
        <v>0.10583028670386761</v>
      </c>
      <c r="C26">
        <f>'Alcohol Consumption'!B26</f>
        <v>0.26800000000000002</v>
      </c>
      <c r="D26">
        <f>Education!G26</f>
        <v>3.1556667308062343E-2</v>
      </c>
      <c r="E26">
        <f>Poverty!B30</f>
        <v>7.5999999999999998E-2</v>
      </c>
      <c r="F26">
        <f>Unemployment!E31</f>
        <v>0.159</v>
      </c>
    </row>
    <row r="27" spans="1:6" x14ac:dyDescent="0.35">
      <c r="A27" t="s">
        <v>65</v>
      </c>
      <c r="B27">
        <f>710/Education!F27</f>
        <v>8.2692755648730493E-2</v>
      </c>
      <c r="C27">
        <f>'Alcohol Consumption'!B27</f>
        <v>0.185</v>
      </c>
      <c r="D27">
        <f>Education!G27</f>
        <v>5.4157931516422085E-2</v>
      </c>
      <c r="E27">
        <f>Poverty!B31</f>
        <v>9.0999999999999998E-2</v>
      </c>
      <c r="F27">
        <f>Unemployment!E32</f>
        <v>0.20200000000000001</v>
      </c>
    </row>
    <row r="28" spans="1:6" x14ac:dyDescent="0.35">
      <c r="A28" t="s">
        <v>66</v>
      </c>
      <c r="B28">
        <f>580/Education!F28</f>
        <v>9.0866363778787401E-2</v>
      </c>
      <c r="C28">
        <f>'Alcohol Consumption'!B28</f>
        <v>0.37</v>
      </c>
      <c r="D28">
        <f>Education!G28</f>
        <v>2.757324142252859E-2</v>
      </c>
      <c r="E28">
        <f>Poverty!B32</f>
        <v>0.11899999999999999</v>
      </c>
      <c r="F28">
        <f>Unemployment!E33</f>
        <v>0.14199999999999999</v>
      </c>
    </row>
    <row r="29" spans="1:6" x14ac:dyDescent="0.35">
      <c r="A29" t="s">
        <v>67</v>
      </c>
      <c r="B29">
        <f>350/Education!F29</f>
        <v>3.1943050104955739E-2</v>
      </c>
      <c r="C29">
        <f>'Alcohol Consumption'!B29</f>
        <v>0.185</v>
      </c>
      <c r="D29">
        <f>Education!G29</f>
        <v>5.8957743908004019E-2</v>
      </c>
      <c r="E29">
        <f>Poverty!B33</f>
        <v>0.09</v>
      </c>
      <c r="F29">
        <f>Unemployment!E34</f>
        <v>0.24</v>
      </c>
    </row>
    <row r="30" spans="1:6" x14ac:dyDescent="0.35">
      <c r="A30" t="s">
        <v>68</v>
      </c>
      <c r="B30">
        <f>380/Education!F30</f>
        <v>0.12426422498364945</v>
      </c>
      <c r="C30">
        <f>'Alcohol Consumption'!B30</f>
        <v>0.185</v>
      </c>
      <c r="D30">
        <f>Education!G30</f>
        <v>8.0444735120994107E-2</v>
      </c>
      <c r="E30">
        <f>Poverty!B34</f>
        <v>0.10100000000000001</v>
      </c>
      <c r="F30">
        <f>Unemployment!E35</f>
        <v>0.27700000000000002</v>
      </c>
    </row>
    <row r="31" spans="1:6" x14ac:dyDescent="0.35">
      <c r="A31" t="s">
        <v>69</v>
      </c>
      <c r="B31">
        <f>450/Education!F31</f>
        <v>0.14729950900163666</v>
      </c>
      <c r="C31">
        <f>'Alcohol Consumption'!B31</f>
        <v>0.31</v>
      </c>
      <c r="D31">
        <f>Education!G31</f>
        <v>8.3142389525368246E-2</v>
      </c>
      <c r="E31">
        <f>Poverty!B35</f>
        <v>0.12</v>
      </c>
      <c r="F31">
        <f>Unemployment!E36</f>
        <v>0.29699999999999999</v>
      </c>
    </row>
    <row r="32" spans="1:6" x14ac:dyDescent="0.35">
      <c r="A32" t="s">
        <v>70</v>
      </c>
      <c r="B32">
        <f>320/Education!F32</f>
        <v>4.9573973663826494E-2</v>
      </c>
      <c r="C32">
        <f>'Alcohol Consumption'!B32</f>
        <v>0.37</v>
      </c>
      <c r="D32">
        <f>Education!G32</f>
        <v>5.5460883036405888E-2</v>
      </c>
      <c r="E32">
        <f>Poverty!B36</f>
        <v>7.4999999999999997E-2</v>
      </c>
      <c r="F32">
        <f>Unemployment!E37</f>
        <v>0.3</v>
      </c>
    </row>
    <row r="33" spans="1:6" x14ac:dyDescent="0.35">
      <c r="A33" t="s">
        <v>77</v>
      </c>
      <c r="B33">
        <f>8510/Education!F33</f>
        <v>0.46753104054499506</v>
      </c>
      <c r="C33">
        <f>'Alcohol Consumption'!B33</f>
        <v>0.32</v>
      </c>
      <c r="D33">
        <f>Education!G33</f>
        <v>4.0544995055488406E-2</v>
      </c>
      <c r="E33">
        <f>Poverty!B37</f>
        <v>0.27500000000000002</v>
      </c>
      <c r="F33">
        <f>Unemployment!E38</f>
        <v>0.33600000000000002</v>
      </c>
    </row>
    <row r="34" spans="1:6" x14ac:dyDescent="0.35">
      <c r="A34" t="s">
        <v>78</v>
      </c>
      <c r="B34">
        <f>1980/Education!F34</f>
        <v>0.22395656599932134</v>
      </c>
      <c r="C34">
        <f>'Alcohol Consumption'!B34</f>
        <v>0.22</v>
      </c>
      <c r="D34">
        <f>Education!G34</f>
        <v>0.16774120574595633</v>
      </c>
      <c r="E34">
        <f>Poverty!B38</f>
        <v>0.23</v>
      </c>
      <c r="F34">
        <f>Unemployment!E39</f>
        <v>0.44600000000000001</v>
      </c>
    </row>
    <row r="35" spans="1:6" x14ac:dyDescent="0.35">
      <c r="A35" t="s">
        <v>79</v>
      </c>
      <c r="B35">
        <f>1530/Education!F35</f>
        <v>1.4811229428848016</v>
      </c>
      <c r="C35">
        <f>'Alcohol Consumption'!B35</f>
        <v>0.26</v>
      </c>
      <c r="D35">
        <f>Education!G35</f>
        <v>0.11907066795740562</v>
      </c>
      <c r="E35">
        <f>Poverty!B39</f>
        <v>0.27500000000000002</v>
      </c>
      <c r="F35">
        <f>Unemployment!E40</f>
        <v>0.46899999999999997</v>
      </c>
    </row>
    <row r="36" spans="1:6" x14ac:dyDescent="0.35">
      <c r="A36" t="s">
        <v>80</v>
      </c>
      <c r="B36">
        <f>1210/Education!F36</f>
        <v>0.1892991239048811</v>
      </c>
      <c r="C36">
        <f>'Alcohol Consumption'!B36</f>
        <v>0.25</v>
      </c>
      <c r="D36">
        <f>Education!G36</f>
        <v>0.13548185231539425</v>
      </c>
      <c r="E36">
        <f>Poverty!B40</f>
        <v>0.28999999999999998</v>
      </c>
      <c r="F36">
        <f>Unemployment!E41</f>
        <v>0.46700000000000003</v>
      </c>
    </row>
    <row r="37" spans="1:6" x14ac:dyDescent="0.35">
      <c r="A37" t="s">
        <v>81</v>
      </c>
      <c r="B37">
        <f>1150/Education!F37</f>
        <v>0.29128672745694023</v>
      </c>
      <c r="C37">
        <f>'Alcohol Consumption'!B37</f>
        <v>0.19</v>
      </c>
      <c r="D37">
        <f>Education!G37</f>
        <v>8.9665653495440728E-2</v>
      </c>
      <c r="E37">
        <f>Poverty!B41</f>
        <v>0.26</v>
      </c>
      <c r="F37">
        <f>Unemployment!E42</f>
        <v>0.4</v>
      </c>
    </row>
    <row r="38" spans="1:6" x14ac:dyDescent="0.35">
      <c r="A38" t="s">
        <v>82</v>
      </c>
      <c r="B38">
        <f>890/Education!F38</f>
        <v>5.0845521023765994E-2</v>
      </c>
      <c r="C38">
        <f>'Alcohol Consumption'!B38</f>
        <v>0.2</v>
      </c>
      <c r="D38">
        <f>Education!G38</f>
        <v>0.12048674588665448</v>
      </c>
      <c r="E38">
        <f>Poverty!B42</f>
        <v>0.2</v>
      </c>
      <c r="F38">
        <f>Unemployment!E43</f>
        <v>0.33200000000000002</v>
      </c>
    </row>
    <row r="39" spans="1:6" x14ac:dyDescent="0.35">
      <c r="A39" t="s">
        <v>83</v>
      </c>
      <c r="B39">
        <f>770/Education!F39</f>
        <v>8.068741485905899E-2</v>
      </c>
      <c r="C39">
        <f>'Alcohol Consumption'!B39</f>
        <v>0.21</v>
      </c>
      <c r="D39">
        <f>Education!G39</f>
        <v>0.10719899402703552</v>
      </c>
      <c r="E39">
        <f>Poverty!B43</f>
        <v>0.21</v>
      </c>
      <c r="F39">
        <f>Unemployment!E44</f>
        <v>0.39</v>
      </c>
    </row>
    <row r="40" spans="1:6" x14ac:dyDescent="0.35">
      <c r="A40" t="s">
        <v>84</v>
      </c>
      <c r="B40">
        <f>727/Education!F40</f>
        <v>0.21133720930232558</v>
      </c>
      <c r="C40">
        <f>'Alcohol Consumption'!B40</f>
        <v>0.34</v>
      </c>
      <c r="D40">
        <f>Education!G40</f>
        <v>6.86046511627907E-2</v>
      </c>
      <c r="E40">
        <f>Poverty!B44</f>
        <v>0.11</v>
      </c>
      <c r="F40">
        <f>Unemployment!E45</f>
        <v>0.435</v>
      </c>
    </row>
    <row r="41" spans="1:6" x14ac:dyDescent="0.35">
      <c r="A41" t="s">
        <v>85</v>
      </c>
      <c r="B41">
        <f>641/Education!F41</f>
        <v>0.47907324364723469</v>
      </c>
      <c r="C41">
        <f>'Alcohol Consumption'!B41</f>
        <v>0.24</v>
      </c>
      <c r="D41">
        <f>Education!G41</f>
        <v>9.1180866965620333E-2</v>
      </c>
      <c r="E41">
        <f>Poverty!B45</f>
        <v>0.26</v>
      </c>
      <c r="F41">
        <f>Unemployment!E46</f>
        <v>0.33400000000000002</v>
      </c>
    </row>
    <row r="42" spans="1:6" x14ac:dyDescent="0.35">
      <c r="A42" t="s">
        <v>86</v>
      </c>
      <c r="B42">
        <f>423/Education!F42</f>
        <v>0.65277777777777779</v>
      </c>
      <c r="C42">
        <f>'Alcohol Consumption'!B42</f>
        <v>0.18</v>
      </c>
      <c r="D42">
        <f>Education!G42</f>
        <v>0.11265432098765432</v>
      </c>
      <c r="E42">
        <f>Poverty!B46</f>
        <v>0.19</v>
      </c>
      <c r="F42">
        <f>Unemployment!E47</f>
        <v>0.39600000000000002</v>
      </c>
    </row>
    <row r="43" spans="1:6" x14ac:dyDescent="0.35">
      <c r="A43" t="s">
        <v>87</v>
      </c>
      <c r="B43">
        <f>11014/Education!F43</f>
        <v>0.80570592538405272</v>
      </c>
      <c r="C43">
        <f>'Alcohol Consumption'!B43</f>
        <v>0.28699999999999998</v>
      </c>
      <c r="D43">
        <f>Education!G43</f>
        <v>3.9063643013899051E-2</v>
      </c>
      <c r="E43">
        <f>Poverty!B47</f>
        <v>0.156</v>
      </c>
      <c r="F43">
        <f>Unemployment!E48</f>
        <v>0.183</v>
      </c>
    </row>
    <row r="44" spans="1:6" x14ac:dyDescent="0.35">
      <c r="A44" t="s">
        <v>88</v>
      </c>
      <c r="B44">
        <f>2942/Education!F44</f>
        <v>2.0718309859154931</v>
      </c>
      <c r="C44">
        <f>'Alcohol Consumption'!B44</f>
        <v>0.28699999999999998</v>
      </c>
      <c r="D44">
        <f>Education!G44</f>
        <v>3.3098591549295772E-2</v>
      </c>
      <c r="E44">
        <f>Poverty!B48</f>
        <v>0.156</v>
      </c>
      <c r="F44">
        <f>Unemployment!E49</f>
        <v>0.14499999999999999</v>
      </c>
    </row>
    <row r="45" spans="1:6" x14ac:dyDescent="0.35">
      <c r="A45" t="s">
        <v>89</v>
      </c>
      <c r="B45">
        <f>4333/Education!F45</f>
        <v>0.32299664554603058</v>
      </c>
      <c r="C45">
        <f>'Alcohol Consumption'!B45</f>
        <v>0.315</v>
      </c>
      <c r="D45">
        <f>Education!G45</f>
        <v>9.4893775624301152E-2</v>
      </c>
      <c r="E45">
        <f>Poverty!B49</f>
        <v>0.13400000000000001</v>
      </c>
      <c r="F45">
        <f>Unemployment!E50</f>
        <v>0.41599999999999998</v>
      </c>
    </row>
    <row r="46" spans="1:6" x14ac:dyDescent="0.35">
      <c r="A46" t="s">
        <v>90</v>
      </c>
      <c r="B46">
        <f>4014/Education!F46</f>
        <v>0.43389903794184415</v>
      </c>
      <c r="C46">
        <f>'Alcohol Consumption'!B46</f>
        <v>0.18</v>
      </c>
      <c r="D46">
        <f>Education!G46</f>
        <v>5.6858717976434978E-2</v>
      </c>
      <c r="E46">
        <f>Poverty!B50</f>
        <v>0.108</v>
      </c>
      <c r="F46">
        <f>Unemployment!E51</f>
        <v>0.27400000000000002</v>
      </c>
    </row>
    <row r="47" spans="1:6" x14ac:dyDescent="0.35">
      <c r="A47" t="s">
        <v>91</v>
      </c>
      <c r="B47">
        <f>3593/Education!F47</f>
        <v>0.16988982930635019</v>
      </c>
      <c r="C47">
        <f>'Alcohol Consumption'!B47</f>
        <v>0.11</v>
      </c>
      <c r="D47">
        <f>Education!G47</f>
        <v>0.10104496666509055</v>
      </c>
      <c r="E47">
        <f>Poverty!B51</f>
        <v>0.114</v>
      </c>
      <c r="F47">
        <f>Unemployment!E52</f>
        <v>0.36699999999999999</v>
      </c>
    </row>
    <row r="48" spans="1:6" x14ac:dyDescent="0.35">
      <c r="A48" t="s">
        <v>92</v>
      </c>
      <c r="B48">
        <f>3566/Education!F48</f>
        <v>0.51869090909090909</v>
      </c>
      <c r="C48">
        <f>'Alcohol Consumption'!B48</f>
        <v>0.11</v>
      </c>
      <c r="D48">
        <f>Education!G48</f>
        <v>7.0981818181818188E-2</v>
      </c>
      <c r="E48">
        <f>Poverty!B52</f>
        <v>0.14199999999999999</v>
      </c>
      <c r="F48">
        <f>Unemployment!E53</f>
        <v>0.246</v>
      </c>
    </row>
    <row r="49" spans="1:6" x14ac:dyDescent="0.35">
      <c r="A49" t="s">
        <v>94</v>
      </c>
      <c r="B49">
        <f>3164/Education!F49</f>
        <v>0.20663531870428423</v>
      </c>
      <c r="C49">
        <f>'Alcohol Consumption'!B49</f>
        <v>0.3</v>
      </c>
      <c r="D49">
        <f>Education!G49</f>
        <v>8.6141588296760704E-2</v>
      </c>
      <c r="E49">
        <f>Poverty!B53</f>
        <v>0.126</v>
      </c>
      <c r="F49">
        <f>Unemployment!E54</f>
        <v>0.40100000000000002</v>
      </c>
    </row>
    <row r="50" spans="1:6" x14ac:dyDescent="0.35">
      <c r="A50" t="s">
        <v>93</v>
      </c>
      <c r="B50">
        <f>2838/Education!F50</f>
        <v>0.32017148014440433</v>
      </c>
      <c r="C50">
        <f>'Alcohol Consumption'!B50</f>
        <v>0.13</v>
      </c>
      <c r="D50">
        <f>Education!G50</f>
        <v>7.840703971119134E-2</v>
      </c>
      <c r="E50">
        <f>Poverty!B54</f>
        <v>0.14499999999999999</v>
      </c>
      <c r="F50">
        <f>Unemployment!E55</f>
        <v>0.28599999999999998</v>
      </c>
    </row>
    <row r="51" spans="1:6" x14ac:dyDescent="0.35">
      <c r="A51" t="s">
        <v>95</v>
      </c>
      <c r="B51">
        <f>2375/Education!F51</f>
        <v>0.37490134175217049</v>
      </c>
      <c r="C51">
        <f>'Alcohol Consumption'!B51</f>
        <v>0.13</v>
      </c>
      <c r="D51">
        <f>Education!G51</f>
        <v>8.7924230465666928E-2</v>
      </c>
      <c r="E51">
        <f>Poverty!B55</f>
        <v>0.13</v>
      </c>
      <c r="F51">
        <f>Unemployment!E56</f>
        <v>0.33200000000000002</v>
      </c>
    </row>
    <row r="52" spans="1:6" x14ac:dyDescent="0.35">
      <c r="A52" t="s">
        <v>96</v>
      </c>
      <c r="B52">
        <f>2466/Education!F52</f>
        <v>0.27245608220086176</v>
      </c>
      <c r="C52">
        <f>'Alcohol Consumption'!B52</f>
        <v>0.12</v>
      </c>
      <c r="D52">
        <f>Education!G52</f>
        <v>6.4302287040106071E-2</v>
      </c>
      <c r="E52">
        <f>Poverty!B56</f>
        <v>0.23300000000000001</v>
      </c>
      <c r="F52">
        <f>Unemployment!E57</f>
        <v>0.32500000000000001</v>
      </c>
    </row>
    <row r="53" spans="1:6" x14ac:dyDescent="0.35">
      <c r="A53" t="s">
        <v>99</v>
      </c>
      <c r="B53">
        <f>10234/53000</f>
        <v>0.1930943396226415</v>
      </c>
      <c r="C53">
        <f>'Alcohol Consumption'!B53</f>
        <v>0.38</v>
      </c>
      <c r="D53">
        <f>Education!G53</f>
        <v>4.4837758112094395E-2</v>
      </c>
      <c r="E53">
        <f>Poverty!B57</f>
        <v>0.14799999999999999</v>
      </c>
      <c r="F53">
        <f>Unemployment!E58</f>
        <v>0.32600000000000001</v>
      </c>
    </row>
    <row r="54" spans="1:6" x14ac:dyDescent="0.35">
      <c r="A54" t="s">
        <v>97</v>
      </c>
      <c r="B54">
        <f>5312/50743</f>
        <v>0.10468438996511834</v>
      </c>
      <c r="C54">
        <f>'Alcohol Consumption'!B54</f>
        <v>0.27900000000000003</v>
      </c>
      <c r="D54">
        <f>Education!G54</f>
        <v>0.11695663031715642</v>
      </c>
      <c r="E54">
        <f>Poverty!B58</f>
        <v>0.25</v>
      </c>
      <c r="F54">
        <f>Unemployment!E59</f>
        <v>0.374</v>
      </c>
    </row>
    <row r="55" spans="1:6" x14ac:dyDescent="0.35">
      <c r="A55" t="s">
        <v>98</v>
      </c>
      <c r="B55">
        <f>2482/14000</f>
        <v>0.1772857142857143</v>
      </c>
      <c r="C55">
        <f>'Alcohol Consumption'!B55</f>
        <v>0.27</v>
      </c>
      <c r="D55">
        <f>Education!G55</f>
        <v>0.11650696864111498</v>
      </c>
      <c r="E55">
        <f>Poverty!B59</f>
        <v>0.42</v>
      </c>
      <c r="F55">
        <f>Unemployment!E60</f>
        <v>0.45400000000000001</v>
      </c>
    </row>
    <row r="56" spans="1:6" x14ac:dyDescent="0.35">
      <c r="A56" t="s">
        <v>100</v>
      </c>
      <c r="B56">
        <f>10234/53000</f>
        <v>0.1930943396226415</v>
      </c>
      <c r="C56">
        <f>'Alcohol Consumption'!B56</f>
        <v>0.36</v>
      </c>
      <c r="D56">
        <f>Education!G56</f>
        <v>5.4615384615384614E-2</v>
      </c>
      <c r="E56">
        <f>Poverty!B60</f>
        <v>0.12</v>
      </c>
      <c r="F56">
        <f>Unemployment!E61</f>
        <v>0.25600000000000001</v>
      </c>
    </row>
    <row r="57" spans="1:6" x14ac:dyDescent="0.35">
      <c r="A57" t="s">
        <v>101</v>
      </c>
      <c r="B57">
        <f>2482/14000</f>
        <v>0.1772857142857143</v>
      </c>
      <c r="C57">
        <f>'Alcohol Consumption'!B57</f>
        <v>0.27</v>
      </c>
      <c r="D57">
        <f>Education!G57</f>
        <v>0.12086513994910941</v>
      </c>
      <c r="E57">
        <f>Poverty!B61</f>
        <v>0.42</v>
      </c>
      <c r="F57">
        <f>Unemployment!E62</f>
        <v>0.48</v>
      </c>
    </row>
    <row r="58" spans="1:6" x14ac:dyDescent="0.35">
      <c r="A58" t="s">
        <v>102</v>
      </c>
      <c r="B58">
        <f>4845/60000</f>
        <v>8.0750000000000002E-2</v>
      </c>
      <c r="C58">
        <f>'Alcohol Consumption'!B58</f>
        <v>0.28999999999999998</v>
      </c>
      <c r="D58">
        <f>Education!G58</f>
        <v>0.10581039755351682</v>
      </c>
      <c r="E58">
        <f>Poverty!B62</f>
        <v>0.36</v>
      </c>
      <c r="F58">
        <f>Unemployment!E63</f>
        <v>0.47</v>
      </c>
    </row>
    <row r="59" spans="1:6" x14ac:dyDescent="0.35">
      <c r="A59" t="s">
        <v>103</v>
      </c>
      <c r="B59">
        <f>4845/60000</f>
        <v>8.0750000000000002E-2</v>
      </c>
      <c r="C59">
        <f>'Alcohol Consumption'!B59</f>
        <v>0.3</v>
      </c>
      <c r="D59">
        <f>Education!G59</f>
        <v>0.11725417439703154</v>
      </c>
      <c r="E59">
        <f>Poverty!B63</f>
        <v>0.3</v>
      </c>
      <c r="F59">
        <f>Unemployment!E64</f>
        <v>0.39600000000000002</v>
      </c>
    </row>
    <row r="60" spans="1:6" x14ac:dyDescent="0.35">
      <c r="A60" t="s">
        <v>104</v>
      </c>
      <c r="B60">
        <f>5312/50743</f>
        <v>0.10468438996511834</v>
      </c>
      <c r="C60">
        <f>'Alcohol Consumption'!B60</f>
        <v>0.28000000000000003</v>
      </c>
      <c r="D60">
        <f>Education!G60</f>
        <v>8.7355540448674371E-2</v>
      </c>
      <c r="E60">
        <f>Poverty!B64</f>
        <v>0.23</v>
      </c>
      <c r="F60">
        <f>Unemployment!E65</f>
        <v>0.29799999999999999</v>
      </c>
    </row>
    <row r="61" spans="1:6" x14ac:dyDescent="0.35">
      <c r="A61" t="s">
        <v>105</v>
      </c>
      <c r="B61">
        <f>4845/60000</f>
        <v>8.0750000000000002E-2</v>
      </c>
      <c r="C61">
        <f>'Alcohol Consumption'!B61</f>
        <v>0.28999999999999998</v>
      </c>
      <c r="D61">
        <f>Education!G61</f>
        <v>9.1902161006886723E-2</v>
      </c>
      <c r="E61">
        <f>Poverty!B65</f>
        <v>0.32</v>
      </c>
      <c r="F61">
        <f>Unemployment!E66</f>
        <v>0.33</v>
      </c>
    </row>
    <row r="62" spans="1:6" x14ac:dyDescent="0.35">
      <c r="A62" t="s">
        <v>106</v>
      </c>
      <c r="B62">
        <f>4845/60000</f>
        <v>8.0750000000000002E-2</v>
      </c>
      <c r="C62">
        <f>'Alcohol Consumption'!B62</f>
        <v>0.3</v>
      </c>
      <c r="D62">
        <f>Education!G62</f>
        <v>8.8294856217091947E-2</v>
      </c>
      <c r="E62">
        <f>Poverty!B66</f>
        <v>0.3</v>
      </c>
      <c r="F62">
        <f>Unemployment!E67</f>
        <v>0.34300000000000003</v>
      </c>
    </row>
    <row r="63" spans="1:6" x14ac:dyDescent="0.35">
      <c r="A63" t="s">
        <v>107</v>
      </c>
      <c r="B63">
        <f>7338/Education!F63</f>
        <v>0.75587144622991342</v>
      </c>
      <c r="C63">
        <f>'Alcohol Consumption'!B63</f>
        <v>0.152</v>
      </c>
      <c r="D63">
        <f>Education!G63</f>
        <v>3.9142974866089822E-2</v>
      </c>
      <c r="E63">
        <f>Poverty!B67</f>
        <v>9.8000000000000004E-2</v>
      </c>
      <c r="F63">
        <f>Unemployment!E68</f>
        <v>0.14199999999999999</v>
      </c>
    </row>
    <row r="64" spans="1:6" x14ac:dyDescent="0.35">
      <c r="A64" t="s">
        <v>108</v>
      </c>
      <c r="B64">
        <f>3951/Education!F64</f>
        <v>0.26822810590631363</v>
      </c>
      <c r="C64">
        <f>'Alcohol Consumption'!B64</f>
        <v>0.2</v>
      </c>
      <c r="D64">
        <f>Education!G64</f>
        <v>4.4534962661235571E-2</v>
      </c>
      <c r="E64">
        <f>Poverty!B68</f>
        <v>9.1999999999999998E-2</v>
      </c>
      <c r="F64">
        <f>Unemployment!E69</f>
        <v>0.219</v>
      </c>
    </row>
    <row r="65" spans="1:6" x14ac:dyDescent="0.35">
      <c r="A65" t="s">
        <v>109</v>
      </c>
      <c r="B65">
        <f>3465/Education!F65</f>
        <v>0.32083333333333336</v>
      </c>
      <c r="C65">
        <f>'Alcohol Consumption'!B65</f>
        <v>0.16</v>
      </c>
      <c r="D65">
        <f>Education!G65</f>
        <v>6.9722222222222227E-2</v>
      </c>
      <c r="E65">
        <f>Poverty!B69</f>
        <v>0.129</v>
      </c>
      <c r="F65">
        <f>Unemployment!E70</f>
        <v>0.317</v>
      </c>
    </row>
    <row r="66" spans="1:6" x14ac:dyDescent="0.35">
      <c r="A66" t="s">
        <v>110</v>
      </c>
      <c r="B66">
        <f>3102/Education!F66</f>
        <v>0.55185909980430525</v>
      </c>
      <c r="C66">
        <f>'Alcohol Consumption'!B66</f>
        <v>0.9</v>
      </c>
      <c r="D66">
        <f>Education!G66</f>
        <v>6.2978117772638315E-2</v>
      </c>
      <c r="E66">
        <f>Poverty!B70</f>
        <v>0.112</v>
      </c>
      <c r="F66">
        <f>Unemployment!E71</f>
        <v>0.22500000000000001</v>
      </c>
    </row>
    <row r="67" spans="1:6" x14ac:dyDescent="0.35">
      <c r="A67" t="s">
        <v>111</v>
      </c>
      <c r="B67">
        <f>1300/Education!F67</f>
        <v>0.10100225312718515</v>
      </c>
      <c r="C67">
        <f>'Alcohol Consumption'!B67</f>
        <v>0.21</v>
      </c>
      <c r="D67">
        <f>Education!G67</f>
        <v>7.349856266024396E-2</v>
      </c>
      <c r="E67">
        <f>Poverty!B71</f>
        <v>8.8999999999999996E-2</v>
      </c>
      <c r="F67">
        <f>Unemployment!E72</f>
        <v>0.34699999999999998</v>
      </c>
    </row>
    <row r="68" spans="1:6" x14ac:dyDescent="0.35">
      <c r="A68" t="s">
        <v>116</v>
      </c>
      <c r="B68">
        <f>1053/Education!F68</f>
        <v>0.11842105263157894</v>
      </c>
      <c r="C68">
        <f>'Alcohol Consumption'!B68</f>
        <v>0.1</v>
      </c>
      <c r="D68">
        <f>Education!G68</f>
        <v>9.041835357624832E-2</v>
      </c>
      <c r="E68">
        <f>Poverty!B72</f>
        <v>0.14799999999999999</v>
      </c>
      <c r="F68">
        <f>Unemployment!E73</f>
        <v>0.375</v>
      </c>
    </row>
    <row r="69" spans="1:6" x14ac:dyDescent="0.35">
      <c r="A69" t="s">
        <v>112</v>
      </c>
      <c r="B69">
        <f>2879/Education!F69</f>
        <v>0.2519691930684404</v>
      </c>
      <c r="C69">
        <f>'Alcohol Consumption'!B69</f>
        <v>0.21</v>
      </c>
      <c r="D69">
        <f>Education!G69</f>
        <v>7.0190792928408893E-2</v>
      </c>
      <c r="E69">
        <f>Poverty!B73</f>
        <v>0.13400000000000001</v>
      </c>
      <c r="F69">
        <f>Unemployment!E74</f>
        <v>0.3</v>
      </c>
    </row>
    <row r="70" spans="1:6" x14ac:dyDescent="0.35">
      <c r="A70" t="s">
        <v>113</v>
      </c>
      <c r="B70">
        <f>300/Education!F70</f>
        <v>0.14058106841611998</v>
      </c>
      <c r="C70">
        <f>'Alcohol Consumption'!B70</f>
        <v>0.2</v>
      </c>
      <c r="D70">
        <f>Education!G70</f>
        <v>7.1696344892221181E-2</v>
      </c>
      <c r="E70">
        <f>Poverty!B74</f>
        <v>0.11799999999999999</v>
      </c>
      <c r="F70">
        <f>Unemployment!E75</f>
        <v>0.28499999999999998</v>
      </c>
    </row>
    <row r="71" spans="1:6" x14ac:dyDescent="0.35">
      <c r="A71" t="s">
        <v>114</v>
      </c>
      <c r="B71">
        <f>2303/Education!F71</f>
        <v>0.37085346215781001</v>
      </c>
      <c r="C71">
        <f>'Alcohol Consumption'!B71</f>
        <v>0.32</v>
      </c>
      <c r="D71">
        <f>Education!G71</f>
        <v>0.16827697262479871</v>
      </c>
      <c r="E71">
        <f>Poverty!B75</f>
        <v>0.23499999999999999</v>
      </c>
      <c r="F71">
        <f>Unemployment!E76</f>
        <v>0.45</v>
      </c>
    </row>
    <row r="72" spans="1:6" x14ac:dyDescent="0.35">
      <c r="A72" t="s">
        <v>115</v>
      </c>
      <c r="B72">
        <f>310/Education!F72</f>
        <v>3.0659677578874493E-2</v>
      </c>
      <c r="C72">
        <f>'Alcohol Consumption'!B72</f>
        <v>0.21</v>
      </c>
      <c r="D72">
        <f>Education!G72</f>
        <v>5.5187419641974086E-2</v>
      </c>
      <c r="E72">
        <f>Poverty!B76</f>
        <v>7.3999999999999996E-2</v>
      </c>
      <c r="F72">
        <f>Unemployment!E77</f>
        <v>0.24299999999999999</v>
      </c>
    </row>
    <row r="73" spans="1:6" x14ac:dyDescent="0.35">
      <c r="A73" t="s">
        <v>126</v>
      </c>
      <c r="B73">
        <f>395/Education!F73</f>
        <v>2.036082474226804</v>
      </c>
      <c r="C73">
        <f>'Alcohol Consumption'!B73</f>
        <v>0.42</v>
      </c>
      <c r="D73">
        <f>Education!G73</f>
        <v>2.0618556701030927E-2</v>
      </c>
      <c r="E73">
        <f>Poverty!B77</f>
        <v>0.14000000000000001</v>
      </c>
      <c r="F73">
        <f>Unemployment!E78</f>
        <v>3.7999999999999999E-2</v>
      </c>
    </row>
    <row r="74" spans="1:6" x14ac:dyDescent="0.35">
      <c r="A74" t="s">
        <v>117</v>
      </c>
      <c r="B74">
        <f>150/Education!F74</f>
        <v>3.1230480949406621E-2</v>
      </c>
      <c r="C74">
        <f>'Alcohol Consumption'!B74</f>
        <v>0.42</v>
      </c>
      <c r="D74">
        <f>Education!G74</f>
        <v>8.8069956277326666E-2</v>
      </c>
      <c r="E74">
        <f>Poverty!B78</f>
        <v>0.18</v>
      </c>
      <c r="F74">
        <f>Unemployment!E79</f>
        <v>0.28399999999999997</v>
      </c>
    </row>
    <row r="75" spans="1:6" x14ac:dyDescent="0.35">
      <c r="A75" t="s">
        <v>118</v>
      </c>
      <c r="B75">
        <f>120/Education!F75</f>
        <v>3.8192234245703373E-2</v>
      </c>
      <c r="C75">
        <f>'Alcohol Consumption'!B75</f>
        <v>0.44</v>
      </c>
      <c r="D75">
        <f>Education!G75</f>
        <v>7.4474856779121579E-2</v>
      </c>
      <c r="E75">
        <f>Poverty!B79</f>
        <v>0.2</v>
      </c>
      <c r="F75">
        <f>Unemployment!E80</f>
        <v>0.247</v>
      </c>
    </row>
    <row r="76" spans="1:6" x14ac:dyDescent="0.35">
      <c r="A76" t="s">
        <v>119</v>
      </c>
      <c r="B76">
        <f>130/Education!F76</f>
        <v>4.3146365748423496E-2</v>
      </c>
      <c r="C76">
        <f>'Alcohol Consumption'!B76</f>
        <v>0.42</v>
      </c>
      <c r="D76">
        <f>Education!G76</f>
        <v>8.9279787587122475E-2</v>
      </c>
      <c r="E76">
        <f>Poverty!B80</f>
        <v>0.19</v>
      </c>
      <c r="F76">
        <f>Unemployment!E81</f>
        <v>0.29099999999999998</v>
      </c>
    </row>
    <row r="77" spans="1:6" x14ac:dyDescent="0.35">
      <c r="A77" t="s">
        <v>120</v>
      </c>
      <c r="B77">
        <f>100/Education!F77</f>
        <v>3.2351989647363313E-2</v>
      </c>
      <c r="C77">
        <f>'Alcohol Consumption'!B77</f>
        <v>0.36</v>
      </c>
      <c r="D77">
        <f>Education!G77</f>
        <v>5.4998382400517631E-2</v>
      </c>
      <c r="E77">
        <f>Poverty!B81</f>
        <v>0.13</v>
      </c>
      <c r="F77">
        <f>Unemployment!E82</f>
        <v>0.16600000000000001</v>
      </c>
    </row>
    <row r="78" spans="1:6" x14ac:dyDescent="0.35">
      <c r="A78" t="s">
        <v>121</v>
      </c>
      <c r="B78">
        <f>85/Education!F78</f>
        <v>2.6771653543307086E-2</v>
      </c>
      <c r="C78">
        <f>'Alcohol Consumption'!B78</f>
        <v>0.44</v>
      </c>
      <c r="D78">
        <f>Education!G78</f>
        <v>7.1496062992125978E-2</v>
      </c>
      <c r="E78">
        <f>Poverty!B82</f>
        <v>0.16</v>
      </c>
      <c r="F78">
        <f>Unemployment!E83</f>
        <v>0.217</v>
      </c>
    </row>
    <row r="79" spans="1:6" x14ac:dyDescent="0.35">
      <c r="A79" t="s">
        <v>122</v>
      </c>
      <c r="B79">
        <f>80/Education!F79</f>
        <v>2.9122679286494358E-2</v>
      </c>
      <c r="C79">
        <f>'Alcohol Consumption'!B79</f>
        <v>0.44</v>
      </c>
      <c r="D79">
        <f>Education!G79</f>
        <v>7.1714597742992353E-2</v>
      </c>
      <c r="E79">
        <f>Poverty!B83</f>
        <v>0.15</v>
      </c>
      <c r="F79">
        <f>Unemployment!E84</f>
        <v>0.2</v>
      </c>
    </row>
    <row r="80" spans="1:6" x14ac:dyDescent="0.35">
      <c r="A80" t="s">
        <v>123</v>
      </c>
      <c r="B80">
        <f>130/Education!F80</f>
        <v>3.146937787460663E-2</v>
      </c>
      <c r="C80">
        <f>'Alcohol Consumption'!B80</f>
        <v>0.36</v>
      </c>
      <c r="D80">
        <f>Education!G80</f>
        <v>3.6310820624546117E-2</v>
      </c>
      <c r="E80">
        <f>Poverty!B84</f>
        <v>0.1</v>
      </c>
      <c r="F80">
        <f>Unemployment!E85</f>
        <v>0.11</v>
      </c>
    </row>
    <row r="81" spans="1:6" x14ac:dyDescent="0.35">
      <c r="A81" t="s">
        <v>124</v>
      </c>
      <c r="B81">
        <f>90/Education!F81</f>
        <v>3.1120331950207469E-2</v>
      </c>
      <c r="C81">
        <f>'Alcohol Consumption'!B81</f>
        <v>0.39</v>
      </c>
      <c r="D81">
        <f>Education!G81</f>
        <v>7.8146611341632088E-2</v>
      </c>
      <c r="E81">
        <f>Poverty!B85</f>
        <v>0.18</v>
      </c>
      <c r="F81">
        <f>Unemployment!E86</f>
        <v>0.25900000000000001</v>
      </c>
    </row>
    <row r="82" spans="1:6" x14ac:dyDescent="0.35">
      <c r="A82" t="s">
        <v>125</v>
      </c>
      <c r="B82">
        <f>160/Education!F82</f>
        <v>4.1194644696189497E-2</v>
      </c>
      <c r="C82">
        <f>'Alcohol Consumption'!B82</f>
        <v>0.39</v>
      </c>
      <c r="D82">
        <f>Education!G82</f>
        <v>5.0720906282183315E-2</v>
      </c>
      <c r="E82">
        <f>Poverty!B86</f>
        <v>0.15</v>
      </c>
      <c r="F82">
        <f>Unemployment!E87</f>
        <v>0.191</v>
      </c>
    </row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2A421A-DC4D-44A7-9017-545613CE4D27}">
  <dimension ref="A1:G82"/>
  <sheetViews>
    <sheetView topLeftCell="A64" workbookViewId="0">
      <selection activeCell="D82" sqref="D82"/>
    </sheetView>
  </sheetViews>
  <sheetFormatPr defaultRowHeight="14.5" x14ac:dyDescent="0.35"/>
  <cols>
    <col min="1" max="1" width="18.81640625" customWidth="1"/>
    <col min="2" max="2" width="14.54296875" customWidth="1"/>
    <col min="3" max="3" width="21.26953125" customWidth="1"/>
    <col min="4" max="4" width="25.6328125" customWidth="1"/>
    <col min="5" max="5" width="20.6328125" customWidth="1"/>
    <col min="6" max="6" width="24.1796875" customWidth="1"/>
    <col min="7" max="7" width="13.36328125" customWidth="1"/>
    <col min="8" max="8" width="11.90625" customWidth="1"/>
    <col min="9" max="9" width="11.36328125" customWidth="1"/>
    <col min="10" max="10" width="9.90625" customWidth="1"/>
    <col min="11" max="11" width="10.36328125" customWidth="1"/>
  </cols>
  <sheetData>
    <row r="1" spans="1:7" x14ac:dyDescent="0.35">
      <c r="A1" s="1" t="s">
        <v>0</v>
      </c>
      <c r="B1" s="1" t="s">
        <v>10</v>
      </c>
      <c r="C1" s="1" t="s">
        <v>11</v>
      </c>
      <c r="D1" s="1" t="s">
        <v>12</v>
      </c>
      <c r="E1" s="1" t="s">
        <v>13</v>
      </c>
      <c r="F1" s="1" t="s">
        <v>23</v>
      </c>
      <c r="G1" s="1" t="s">
        <v>24</v>
      </c>
    </row>
    <row r="2" spans="1:7" x14ac:dyDescent="0.35">
      <c r="A2" t="s">
        <v>43</v>
      </c>
      <c r="B2" s="4">
        <v>159</v>
      </c>
      <c r="C2" s="2">
        <v>188</v>
      </c>
      <c r="D2">
        <v>222</v>
      </c>
      <c r="E2">
        <f t="shared" ref="E2:E11" si="0">SUM(B2:D2)</f>
        <v>569</v>
      </c>
      <c r="F2">
        <v>15675</v>
      </c>
      <c r="G2">
        <f>E2/F2</f>
        <v>3.6299840510366825E-2</v>
      </c>
    </row>
    <row r="3" spans="1:7" x14ac:dyDescent="0.35">
      <c r="A3" t="s">
        <v>1</v>
      </c>
      <c r="B3">
        <v>21688</v>
      </c>
      <c r="C3">
        <v>7891</v>
      </c>
      <c r="D3">
        <v>3431</v>
      </c>
      <c r="E3">
        <f t="shared" si="0"/>
        <v>33010</v>
      </c>
      <c r="F3">
        <v>396776</v>
      </c>
      <c r="G3">
        <f t="shared" ref="G3:G11" si="1">E3/F3</f>
        <v>8.3195556182833641E-2</v>
      </c>
    </row>
    <row r="4" spans="1:7" x14ac:dyDescent="0.35">
      <c r="A4" t="s">
        <v>3</v>
      </c>
      <c r="B4">
        <v>14025</v>
      </c>
      <c r="C4">
        <v>4513</v>
      </c>
      <c r="D4">
        <v>1128</v>
      </c>
      <c r="E4">
        <f t="shared" si="0"/>
        <v>19666</v>
      </c>
      <c r="F4">
        <v>217664</v>
      </c>
      <c r="G4">
        <f t="shared" si="1"/>
        <v>9.0350264628050569E-2</v>
      </c>
    </row>
    <row r="5" spans="1:7" x14ac:dyDescent="0.35">
      <c r="A5" t="s">
        <v>4</v>
      </c>
      <c r="B5">
        <v>8</v>
      </c>
      <c r="C5">
        <v>0</v>
      </c>
      <c r="D5">
        <v>1176</v>
      </c>
      <c r="E5">
        <f t="shared" si="0"/>
        <v>1184</v>
      </c>
      <c r="F5">
        <v>16986</v>
      </c>
      <c r="G5">
        <f t="shared" si="1"/>
        <v>6.97044624985282E-2</v>
      </c>
    </row>
    <row r="6" spans="1:7" x14ac:dyDescent="0.35">
      <c r="A6" t="s">
        <v>5</v>
      </c>
      <c r="B6">
        <v>11172</v>
      </c>
      <c r="C6">
        <v>3787</v>
      </c>
      <c r="D6">
        <v>1388</v>
      </c>
      <c r="E6">
        <f t="shared" si="0"/>
        <v>16347</v>
      </c>
      <c r="F6">
        <v>176519</v>
      </c>
      <c r="G6">
        <f t="shared" si="1"/>
        <v>9.2607594649867717E-2</v>
      </c>
    </row>
    <row r="7" spans="1:7" x14ac:dyDescent="0.35">
      <c r="A7" t="s">
        <v>6</v>
      </c>
      <c r="B7">
        <v>15802</v>
      </c>
      <c r="C7">
        <v>4746</v>
      </c>
      <c r="D7">
        <v>5223</v>
      </c>
      <c r="E7">
        <f t="shared" si="0"/>
        <v>25771</v>
      </c>
      <c r="F7">
        <v>233446</v>
      </c>
      <c r="G7">
        <f t="shared" si="1"/>
        <v>0.11039383840374219</v>
      </c>
    </row>
    <row r="8" spans="1:7" x14ac:dyDescent="0.35">
      <c r="A8" t="s">
        <v>7</v>
      </c>
      <c r="B8">
        <v>8866</v>
      </c>
      <c r="C8">
        <v>5592</v>
      </c>
      <c r="D8">
        <v>1786</v>
      </c>
      <c r="E8">
        <f t="shared" si="0"/>
        <v>16244</v>
      </c>
      <c r="F8">
        <v>256729</v>
      </c>
      <c r="G8">
        <f t="shared" si="1"/>
        <v>6.3272945401571301E-2</v>
      </c>
    </row>
    <row r="9" spans="1:7" x14ac:dyDescent="0.35">
      <c r="A9" t="s">
        <v>8</v>
      </c>
      <c r="B9">
        <v>966</v>
      </c>
      <c r="C9">
        <v>234</v>
      </c>
      <c r="D9">
        <v>106</v>
      </c>
      <c r="E9">
        <f t="shared" si="0"/>
        <v>1306</v>
      </c>
      <c r="F9">
        <v>13256</v>
      </c>
      <c r="G9">
        <f t="shared" si="1"/>
        <v>9.8521424260712129E-2</v>
      </c>
    </row>
    <row r="10" spans="1:7" x14ac:dyDescent="0.35">
      <c r="A10" t="s">
        <v>9</v>
      </c>
      <c r="B10">
        <v>33</v>
      </c>
      <c r="C10">
        <v>308</v>
      </c>
      <c r="D10">
        <v>77</v>
      </c>
      <c r="E10">
        <f t="shared" si="0"/>
        <v>418</v>
      </c>
      <c r="F10">
        <v>15828</v>
      </c>
      <c r="G10">
        <f t="shared" si="1"/>
        <v>2.6408895628001011E-2</v>
      </c>
    </row>
    <row r="11" spans="1:7" x14ac:dyDescent="0.35">
      <c r="A11" t="s">
        <v>44</v>
      </c>
      <c r="B11">
        <v>597</v>
      </c>
      <c r="C11">
        <v>925</v>
      </c>
      <c r="D11">
        <v>202</v>
      </c>
      <c r="E11">
        <f t="shared" si="0"/>
        <v>1724</v>
      </c>
      <c r="F11">
        <v>54941</v>
      </c>
      <c r="G11">
        <f t="shared" si="1"/>
        <v>3.1379115778744471E-2</v>
      </c>
    </row>
    <row r="12" spans="1:7" x14ac:dyDescent="0.35">
      <c r="A12" t="s">
        <v>45</v>
      </c>
      <c r="B12">
        <v>262</v>
      </c>
      <c r="C12">
        <v>44</v>
      </c>
      <c r="D12">
        <v>10</v>
      </c>
      <c r="E12">
        <f t="shared" ref="E12:E19" si="2">SUM(B12:D12)</f>
        <v>316</v>
      </c>
      <c r="F12">
        <v>2875</v>
      </c>
      <c r="G12">
        <f>E12/F12</f>
        <v>0.10991304347826086</v>
      </c>
    </row>
    <row r="13" spans="1:7" x14ac:dyDescent="0.35">
      <c r="A13" t="s">
        <v>55</v>
      </c>
      <c r="B13">
        <v>297</v>
      </c>
      <c r="C13">
        <v>243</v>
      </c>
      <c r="D13">
        <v>119</v>
      </c>
      <c r="E13">
        <f t="shared" si="2"/>
        <v>659</v>
      </c>
      <c r="F13">
        <v>16055</v>
      </c>
      <c r="G13">
        <f t="shared" ref="G13:G21" si="3">E13/F13</f>
        <v>4.1046402989722827E-2</v>
      </c>
    </row>
    <row r="14" spans="1:7" x14ac:dyDescent="0.35">
      <c r="A14" t="s">
        <v>46</v>
      </c>
      <c r="B14">
        <v>2338</v>
      </c>
      <c r="C14">
        <v>724</v>
      </c>
      <c r="D14">
        <v>118</v>
      </c>
      <c r="E14">
        <f t="shared" si="2"/>
        <v>3180</v>
      </c>
      <c r="F14">
        <v>37331</v>
      </c>
      <c r="G14">
        <f t="shared" si="3"/>
        <v>8.5183895422035305E-2</v>
      </c>
    </row>
    <row r="15" spans="1:7" x14ac:dyDescent="0.35">
      <c r="A15" t="s">
        <v>47</v>
      </c>
      <c r="B15">
        <v>733</v>
      </c>
      <c r="C15">
        <v>75</v>
      </c>
      <c r="D15">
        <v>273</v>
      </c>
      <c r="E15">
        <f t="shared" si="2"/>
        <v>1081</v>
      </c>
      <c r="F15">
        <v>4977</v>
      </c>
      <c r="G15">
        <f t="shared" si="3"/>
        <v>0.21719911593329314</v>
      </c>
    </row>
    <row r="16" spans="1:7" x14ac:dyDescent="0.35">
      <c r="A16" t="s">
        <v>48</v>
      </c>
      <c r="B16">
        <v>169</v>
      </c>
      <c r="C16">
        <v>275</v>
      </c>
      <c r="D16">
        <v>59</v>
      </c>
      <c r="E16">
        <f t="shared" si="2"/>
        <v>503</v>
      </c>
      <c r="F16">
        <v>15495</v>
      </c>
      <c r="G16">
        <f t="shared" si="3"/>
        <v>3.2462084543401097E-2</v>
      </c>
    </row>
    <row r="17" spans="1:7" x14ac:dyDescent="0.35">
      <c r="A17" t="s">
        <v>54</v>
      </c>
      <c r="B17">
        <v>191</v>
      </c>
      <c r="C17">
        <v>410</v>
      </c>
      <c r="D17">
        <v>50</v>
      </c>
      <c r="E17">
        <f>SUM(B17:D17)</f>
        <v>651</v>
      </c>
      <c r="F17">
        <v>22631</v>
      </c>
      <c r="G17">
        <f>E17/F17</f>
        <v>2.8765852149706155E-2</v>
      </c>
    </row>
    <row r="18" spans="1:7" x14ac:dyDescent="0.35">
      <c r="A18" t="s">
        <v>49</v>
      </c>
      <c r="B18">
        <v>1386</v>
      </c>
      <c r="C18">
        <v>164</v>
      </c>
      <c r="D18">
        <v>453</v>
      </c>
      <c r="E18">
        <f>SUM(B18:D18)</f>
        <v>2003</v>
      </c>
      <c r="F18">
        <v>12524</v>
      </c>
      <c r="G18">
        <f>E18/F18</f>
        <v>0.15993292877674864</v>
      </c>
    </row>
    <row r="19" spans="1:7" x14ac:dyDescent="0.35">
      <c r="A19" t="s">
        <v>50</v>
      </c>
      <c r="B19">
        <v>384</v>
      </c>
      <c r="C19">
        <v>369</v>
      </c>
      <c r="D19">
        <v>52</v>
      </c>
      <c r="E19">
        <f t="shared" si="2"/>
        <v>805</v>
      </c>
      <c r="F19">
        <v>19490</v>
      </c>
      <c r="G19">
        <f t="shared" si="3"/>
        <v>4.1303232426885585E-2</v>
      </c>
    </row>
    <row r="20" spans="1:7" x14ac:dyDescent="0.35">
      <c r="A20" t="s">
        <v>51</v>
      </c>
      <c r="B20">
        <v>853</v>
      </c>
      <c r="C20">
        <v>134</v>
      </c>
      <c r="D20">
        <v>81</v>
      </c>
      <c r="E20">
        <f>SUM(B20:D20)</f>
        <v>1068</v>
      </c>
      <c r="F20">
        <v>7953</v>
      </c>
      <c r="G20">
        <f t="shared" si="3"/>
        <v>0.13428894756695586</v>
      </c>
    </row>
    <row r="21" spans="1:7" x14ac:dyDescent="0.35">
      <c r="A21" t="s">
        <v>52</v>
      </c>
      <c r="B21">
        <v>3676</v>
      </c>
      <c r="C21">
        <v>922</v>
      </c>
      <c r="D21">
        <v>734</v>
      </c>
      <c r="E21">
        <f>SUM(B21:D21)</f>
        <v>5332</v>
      </c>
      <c r="F21">
        <v>50027</v>
      </c>
      <c r="G21">
        <f t="shared" si="3"/>
        <v>0.1065824454794411</v>
      </c>
    </row>
    <row r="22" spans="1:7" x14ac:dyDescent="0.35">
      <c r="A22" t="s">
        <v>57</v>
      </c>
      <c r="B22">
        <v>1678</v>
      </c>
      <c r="C22">
        <v>193</v>
      </c>
      <c r="D22">
        <v>137</v>
      </c>
      <c r="E22">
        <f>SUM(B22:D22)</f>
        <v>2008</v>
      </c>
      <c r="F22">
        <v>14389</v>
      </c>
      <c r="G22">
        <f>E22/F22</f>
        <v>0.13955104593786921</v>
      </c>
    </row>
    <row r="23" spans="1:7" x14ac:dyDescent="0.35">
      <c r="A23" t="s">
        <v>61</v>
      </c>
      <c r="B23">
        <v>21</v>
      </c>
      <c r="C23">
        <v>55</v>
      </c>
      <c r="D23">
        <v>3</v>
      </c>
      <c r="E23">
        <f>SUM(B23:D23)</f>
        <v>79</v>
      </c>
      <c r="F23">
        <v>4835</v>
      </c>
      <c r="G23">
        <f>E23/F23</f>
        <v>1.6339193381592555E-2</v>
      </c>
    </row>
    <row r="24" spans="1:7" x14ac:dyDescent="0.35">
      <c r="A24" t="s">
        <v>62</v>
      </c>
      <c r="B24">
        <v>154</v>
      </c>
      <c r="C24">
        <v>122</v>
      </c>
      <c r="D24">
        <v>19</v>
      </c>
      <c r="E24">
        <f t="shared" ref="E24:E82" si="4">SUM(B24:D24)</f>
        <v>295</v>
      </c>
      <c r="F24">
        <v>8502</v>
      </c>
      <c r="G24">
        <f t="shared" ref="G24:G82" si="5">E24/F24</f>
        <v>3.4697718183956713E-2</v>
      </c>
    </row>
    <row r="25" spans="1:7" x14ac:dyDescent="0.35">
      <c r="A25" t="s">
        <v>63</v>
      </c>
      <c r="B25">
        <v>719</v>
      </c>
      <c r="C25">
        <v>345</v>
      </c>
      <c r="D25">
        <v>38</v>
      </c>
      <c r="E25">
        <f t="shared" si="4"/>
        <v>1102</v>
      </c>
      <c r="F25">
        <v>15670</v>
      </c>
      <c r="G25">
        <f t="shared" si="5"/>
        <v>7.0325462667517546E-2</v>
      </c>
    </row>
    <row r="26" spans="1:7" x14ac:dyDescent="0.35">
      <c r="A26" t="s">
        <v>64</v>
      </c>
      <c r="B26">
        <v>70</v>
      </c>
      <c r="C26">
        <v>80</v>
      </c>
      <c r="D26">
        <v>14</v>
      </c>
      <c r="E26">
        <f t="shared" si="4"/>
        <v>164</v>
      </c>
      <c r="F26">
        <v>5197</v>
      </c>
      <c r="G26">
        <f t="shared" si="5"/>
        <v>3.1556667308062343E-2</v>
      </c>
    </row>
    <row r="27" spans="1:7" x14ac:dyDescent="0.35">
      <c r="A27" t="s">
        <v>65</v>
      </c>
      <c r="B27">
        <v>286</v>
      </c>
      <c r="C27">
        <v>120</v>
      </c>
      <c r="D27">
        <v>59</v>
      </c>
      <c r="E27">
        <f t="shared" si="4"/>
        <v>465</v>
      </c>
      <c r="F27">
        <v>8586</v>
      </c>
      <c r="G27">
        <f t="shared" si="5"/>
        <v>5.4157931516422085E-2</v>
      </c>
    </row>
    <row r="28" spans="1:7" x14ac:dyDescent="0.35">
      <c r="A28" t="s">
        <v>66</v>
      </c>
      <c r="B28">
        <v>74</v>
      </c>
      <c r="C28">
        <v>91</v>
      </c>
      <c r="D28">
        <v>11</v>
      </c>
      <c r="E28">
        <f t="shared" si="4"/>
        <v>176</v>
      </c>
      <c r="F28">
        <v>6383</v>
      </c>
      <c r="G28">
        <f t="shared" si="5"/>
        <v>2.757324142252859E-2</v>
      </c>
    </row>
    <row r="29" spans="1:7" x14ac:dyDescent="0.35">
      <c r="A29" t="s">
        <v>67</v>
      </c>
      <c r="B29">
        <v>405</v>
      </c>
      <c r="C29">
        <v>197</v>
      </c>
      <c r="D29">
        <v>44</v>
      </c>
      <c r="E29">
        <f t="shared" si="4"/>
        <v>646</v>
      </c>
      <c r="F29">
        <v>10957</v>
      </c>
      <c r="G29">
        <f t="shared" si="5"/>
        <v>5.8957743908004019E-2</v>
      </c>
    </row>
    <row r="30" spans="1:7" x14ac:dyDescent="0.35">
      <c r="A30" t="s">
        <v>68</v>
      </c>
      <c r="B30">
        <v>173</v>
      </c>
      <c r="C30">
        <v>57</v>
      </c>
      <c r="D30">
        <v>16</v>
      </c>
      <c r="E30">
        <f t="shared" si="4"/>
        <v>246</v>
      </c>
      <c r="F30">
        <v>3058</v>
      </c>
      <c r="G30">
        <f t="shared" si="5"/>
        <v>8.0444735120994107E-2</v>
      </c>
    </row>
    <row r="31" spans="1:7" x14ac:dyDescent="0.35">
      <c r="A31" t="s">
        <v>69</v>
      </c>
      <c r="B31">
        <v>150</v>
      </c>
      <c r="C31">
        <v>69</v>
      </c>
      <c r="D31">
        <v>35</v>
      </c>
      <c r="E31">
        <f t="shared" si="4"/>
        <v>254</v>
      </c>
      <c r="F31">
        <v>3055</v>
      </c>
      <c r="G31">
        <f t="shared" si="5"/>
        <v>8.3142389525368246E-2</v>
      </c>
    </row>
    <row r="32" spans="1:7" x14ac:dyDescent="0.35">
      <c r="A32" t="s">
        <v>70</v>
      </c>
      <c r="B32">
        <v>254</v>
      </c>
      <c r="C32">
        <v>83</v>
      </c>
      <c r="D32">
        <v>21</v>
      </c>
      <c r="E32">
        <f t="shared" si="4"/>
        <v>358</v>
      </c>
      <c r="F32">
        <v>6455</v>
      </c>
      <c r="G32">
        <f t="shared" si="5"/>
        <v>5.5460883036405888E-2</v>
      </c>
    </row>
    <row r="33" spans="1:7" x14ac:dyDescent="0.35">
      <c r="A33" t="s">
        <v>77</v>
      </c>
      <c r="B33">
        <v>327</v>
      </c>
      <c r="C33">
        <v>350</v>
      </c>
      <c r="D33">
        <v>61</v>
      </c>
      <c r="E33">
        <f t="shared" si="4"/>
        <v>738</v>
      </c>
      <c r="F33">
        <v>18202</v>
      </c>
      <c r="G33">
        <f t="shared" si="5"/>
        <v>4.0544995055488406E-2</v>
      </c>
    </row>
    <row r="34" spans="1:7" x14ac:dyDescent="0.35">
      <c r="A34" t="s">
        <v>78</v>
      </c>
      <c r="B34">
        <v>880</v>
      </c>
      <c r="C34">
        <v>137</v>
      </c>
      <c r="D34">
        <v>466</v>
      </c>
      <c r="E34">
        <f t="shared" si="4"/>
        <v>1483</v>
      </c>
      <c r="F34">
        <v>8841</v>
      </c>
      <c r="G34">
        <f t="shared" si="5"/>
        <v>0.16774120574595633</v>
      </c>
    </row>
    <row r="35" spans="1:7" x14ac:dyDescent="0.35">
      <c r="A35" t="s">
        <v>79</v>
      </c>
      <c r="B35">
        <v>93</v>
      </c>
      <c r="C35">
        <v>6</v>
      </c>
      <c r="D35">
        <v>24</v>
      </c>
      <c r="E35">
        <f t="shared" si="4"/>
        <v>123</v>
      </c>
      <c r="F35">
        <v>1033</v>
      </c>
      <c r="G35">
        <f t="shared" si="5"/>
        <v>0.11907066795740562</v>
      </c>
    </row>
    <row r="36" spans="1:7" x14ac:dyDescent="0.35">
      <c r="A36" t="s">
        <v>80</v>
      </c>
      <c r="B36">
        <v>655</v>
      </c>
      <c r="C36">
        <v>92</v>
      </c>
      <c r="D36">
        <v>119</v>
      </c>
      <c r="E36">
        <f t="shared" si="4"/>
        <v>866</v>
      </c>
      <c r="F36">
        <v>6392</v>
      </c>
      <c r="G36">
        <f t="shared" si="5"/>
        <v>0.13548185231539425</v>
      </c>
    </row>
    <row r="37" spans="1:7" x14ac:dyDescent="0.35">
      <c r="A37" t="s">
        <v>81</v>
      </c>
      <c r="B37">
        <v>232</v>
      </c>
      <c r="C37">
        <v>93</v>
      </c>
      <c r="D37">
        <v>29</v>
      </c>
      <c r="E37">
        <f t="shared" si="4"/>
        <v>354</v>
      </c>
      <c r="F37">
        <v>3948</v>
      </c>
      <c r="G37">
        <f t="shared" si="5"/>
        <v>8.9665653495440728E-2</v>
      </c>
    </row>
    <row r="38" spans="1:7" x14ac:dyDescent="0.35">
      <c r="A38" t="s">
        <v>82</v>
      </c>
      <c r="B38">
        <v>1332</v>
      </c>
      <c r="C38">
        <v>275</v>
      </c>
      <c r="D38">
        <v>502</v>
      </c>
      <c r="E38">
        <f t="shared" si="4"/>
        <v>2109</v>
      </c>
      <c r="F38">
        <v>17504</v>
      </c>
      <c r="G38">
        <f t="shared" si="5"/>
        <v>0.12048674588665448</v>
      </c>
    </row>
    <row r="39" spans="1:7" x14ac:dyDescent="0.35">
      <c r="A39" t="s">
        <v>83</v>
      </c>
      <c r="B39">
        <v>730</v>
      </c>
      <c r="C39">
        <v>141</v>
      </c>
      <c r="D39">
        <v>152</v>
      </c>
      <c r="E39">
        <f t="shared" si="4"/>
        <v>1023</v>
      </c>
      <c r="F39">
        <v>9543</v>
      </c>
      <c r="G39">
        <f t="shared" si="5"/>
        <v>0.10719899402703552</v>
      </c>
    </row>
    <row r="40" spans="1:7" x14ac:dyDescent="0.35">
      <c r="A40" t="s">
        <v>84</v>
      </c>
      <c r="B40">
        <v>144</v>
      </c>
      <c r="C40">
        <v>88</v>
      </c>
      <c r="D40">
        <v>4</v>
      </c>
      <c r="E40">
        <f t="shared" si="4"/>
        <v>236</v>
      </c>
      <c r="F40">
        <v>3440</v>
      </c>
      <c r="G40">
        <f t="shared" si="5"/>
        <v>6.86046511627907E-2</v>
      </c>
    </row>
    <row r="41" spans="1:7" x14ac:dyDescent="0.35">
      <c r="A41" t="s">
        <v>85</v>
      </c>
      <c r="B41">
        <v>93</v>
      </c>
      <c r="C41">
        <v>25</v>
      </c>
      <c r="D41">
        <v>4</v>
      </c>
      <c r="E41">
        <f t="shared" si="4"/>
        <v>122</v>
      </c>
      <c r="F41">
        <v>1338</v>
      </c>
      <c r="G41">
        <f t="shared" si="5"/>
        <v>9.1180866965620333E-2</v>
      </c>
    </row>
    <row r="42" spans="1:7" x14ac:dyDescent="0.35">
      <c r="A42" t="s">
        <v>86</v>
      </c>
      <c r="B42">
        <v>56</v>
      </c>
      <c r="C42">
        <v>4</v>
      </c>
      <c r="D42">
        <v>13</v>
      </c>
      <c r="E42">
        <f t="shared" si="4"/>
        <v>73</v>
      </c>
      <c r="F42">
        <v>648</v>
      </c>
      <c r="G42">
        <f t="shared" si="5"/>
        <v>0.11265432098765432</v>
      </c>
    </row>
    <row r="43" spans="1:7" x14ac:dyDescent="0.35">
      <c r="A43" t="s">
        <v>87</v>
      </c>
      <c r="B43">
        <v>217</v>
      </c>
      <c r="C43">
        <v>259</v>
      </c>
      <c r="D43">
        <v>58</v>
      </c>
      <c r="E43">
        <f t="shared" si="4"/>
        <v>534</v>
      </c>
      <c r="F43">
        <v>13670</v>
      </c>
      <c r="G43">
        <f t="shared" si="5"/>
        <v>3.9063643013899051E-2</v>
      </c>
    </row>
    <row r="44" spans="1:7" x14ac:dyDescent="0.35">
      <c r="A44" t="s">
        <v>88</v>
      </c>
      <c r="B44">
        <v>16</v>
      </c>
      <c r="C44">
        <v>26</v>
      </c>
      <c r="D44">
        <v>5</v>
      </c>
      <c r="E44">
        <f t="shared" si="4"/>
        <v>47</v>
      </c>
      <c r="F44">
        <v>1420</v>
      </c>
      <c r="G44">
        <f t="shared" si="5"/>
        <v>3.3098591549295772E-2</v>
      </c>
    </row>
    <row r="45" spans="1:7" x14ac:dyDescent="0.35">
      <c r="A45" t="s">
        <v>89</v>
      </c>
      <c r="B45">
        <v>932</v>
      </c>
      <c r="C45">
        <v>264</v>
      </c>
      <c r="D45">
        <v>77</v>
      </c>
      <c r="E45">
        <f t="shared" si="4"/>
        <v>1273</v>
      </c>
      <c r="F45">
        <v>13415</v>
      </c>
      <c r="G45">
        <f t="shared" si="5"/>
        <v>9.4893775624301152E-2</v>
      </c>
    </row>
    <row r="46" spans="1:7" x14ac:dyDescent="0.35">
      <c r="A46" t="s">
        <v>90</v>
      </c>
      <c r="B46">
        <v>304</v>
      </c>
      <c r="C46">
        <v>189</v>
      </c>
      <c r="D46">
        <v>33</v>
      </c>
      <c r="E46">
        <f t="shared" si="4"/>
        <v>526</v>
      </c>
      <c r="F46">
        <v>9251</v>
      </c>
      <c r="G46">
        <f t="shared" si="5"/>
        <v>5.6858717976434978E-2</v>
      </c>
    </row>
    <row r="47" spans="1:7" x14ac:dyDescent="0.35">
      <c r="A47" t="s">
        <v>91</v>
      </c>
      <c r="B47">
        <v>1390</v>
      </c>
      <c r="C47">
        <v>426</v>
      </c>
      <c r="D47">
        <v>321</v>
      </c>
      <c r="E47">
        <f t="shared" si="4"/>
        <v>2137</v>
      </c>
      <c r="F47">
        <v>21149</v>
      </c>
      <c r="G47">
        <f t="shared" si="5"/>
        <v>0.10104496666509055</v>
      </c>
    </row>
    <row r="48" spans="1:7" x14ac:dyDescent="0.35">
      <c r="A48" t="s">
        <v>92</v>
      </c>
      <c r="B48">
        <v>257</v>
      </c>
      <c r="C48">
        <v>149</v>
      </c>
      <c r="D48">
        <v>82</v>
      </c>
      <c r="E48">
        <f t="shared" si="4"/>
        <v>488</v>
      </c>
      <c r="F48">
        <v>6875</v>
      </c>
      <c r="G48">
        <f t="shared" si="5"/>
        <v>7.0981818181818188E-2</v>
      </c>
    </row>
    <row r="49" spans="1:7" x14ac:dyDescent="0.35">
      <c r="A49" t="s">
        <v>94</v>
      </c>
      <c r="B49">
        <v>903</v>
      </c>
      <c r="C49">
        <v>360</v>
      </c>
      <c r="D49">
        <v>56</v>
      </c>
      <c r="E49">
        <f t="shared" si="4"/>
        <v>1319</v>
      </c>
      <c r="F49">
        <v>15312</v>
      </c>
      <c r="G49">
        <f t="shared" si="5"/>
        <v>8.6141588296760704E-2</v>
      </c>
    </row>
    <row r="50" spans="1:7" x14ac:dyDescent="0.35">
      <c r="A50" t="s">
        <v>93</v>
      </c>
      <c r="B50">
        <v>436</v>
      </c>
      <c r="C50">
        <v>180</v>
      </c>
      <c r="D50">
        <v>79</v>
      </c>
      <c r="E50">
        <f t="shared" si="4"/>
        <v>695</v>
      </c>
      <c r="F50">
        <v>8864</v>
      </c>
      <c r="G50">
        <f t="shared" si="5"/>
        <v>7.840703971119134E-2</v>
      </c>
    </row>
    <row r="51" spans="1:7" x14ac:dyDescent="0.35">
      <c r="A51" t="s">
        <v>95</v>
      </c>
      <c r="B51">
        <v>390</v>
      </c>
      <c r="C51">
        <v>114</v>
      </c>
      <c r="D51">
        <v>53</v>
      </c>
      <c r="E51">
        <f t="shared" si="4"/>
        <v>557</v>
      </c>
      <c r="F51">
        <v>6335</v>
      </c>
      <c r="G51">
        <f t="shared" si="5"/>
        <v>8.7924230465666928E-2</v>
      </c>
    </row>
    <row r="52" spans="1:7" x14ac:dyDescent="0.35">
      <c r="A52" t="s">
        <v>96</v>
      </c>
      <c r="B52">
        <v>360</v>
      </c>
      <c r="C52">
        <v>168</v>
      </c>
      <c r="D52">
        <v>54</v>
      </c>
      <c r="E52">
        <f t="shared" si="4"/>
        <v>582</v>
      </c>
      <c r="F52">
        <v>9051</v>
      </c>
      <c r="G52">
        <f t="shared" si="5"/>
        <v>6.4302287040106071E-2</v>
      </c>
    </row>
    <row r="53" spans="1:7" x14ac:dyDescent="0.35">
      <c r="A53" t="s">
        <v>99</v>
      </c>
      <c r="B53">
        <v>80</v>
      </c>
      <c r="C53">
        <v>59</v>
      </c>
      <c r="D53">
        <v>13</v>
      </c>
      <c r="E53">
        <f t="shared" si="4"/>
        <v>152</v>
      </c>
      <c r="F53">
        <v>3390</v>
      </c>
      <c r="G53">
        <f t="shared" si="5"/>
        <v>4.4837758112094395E-2</v>
      </c>
    </row>
    <row r="54" spans="1:7" x14ac:dyDescent="0.35">
      <c r="A54" t="s">
        <v>97</v>
      </c>
      <c r="B54">
        <v>1053</v>
      </c>
      <c r="C54">
        <v>207</v>
      </c>
      <c r="D54">
        <v>145</v>
      </c>
      <c r="E54">
        <f t="shared" si="4"/>
        <v>1405</v>
      </c>
      <c r="F54">
        <v>12013</v>
      </c>
      <c r="G54">
        <f t="shared" si="5"/>
        <v>0.11695663031715642</v>
      </c>
    </row>
    <row r="55" spans="1:7" x14ac:dyDescent="0.35">
      <c r="A55" t="s">
        <v>98</v>
      </c>
      <c r="B55">
        <v>474</v>
      </c>
      <c r="C55">
        <v>50</v>
      </c>
      <c r="D55">
        <v>11</v>
      </c>
      <c r="E55">
        <f t="shared" si="4"/>
        <v>535</v>
      </c>
      <c r="F55">
        <v>4592</v>
      </c>
      <c r="G55">
        <f t="shared" si="5"/>
        <v>0.11650696864111498</v>
      </c>
    </row>
    <row r="56" spans="1:7" x14ac:dyDescent="0.35">
      <c r="A56" t="s">
        <v>100</v>
      </c>
      <c r="B56">
        <v>84</v>
      </c>
      <c r="C56">
        <v>48</v>
      </c>
      <c r="D56">
        <v>10</v>
      </c>
      <c r="E56">
        <f t="shared" si="4"/>
        <v>142</v>
      </c>
      <c r="F56">
        <v>2600</v>
      </c>
      <c r="G56">
        <f t="shared" si="5"/>
        <v>5.4615384615384614E-2</v>
      </c>
    </row>
    <row r="57" spans="1:7" x14ac:dyDescent="0.35">
      <c r="A57" t="s">
        <v>101</v>
      </c>
      <c r="B57">
        <v>167</v>
      </c>
      <c r="C57">
        <v>23</v>
      </c>
      <c r="D57">
        <v>0</v>
      </c>
      <c r="E57">
        <f t="shared" si="4"/>
        <v>190</v>
      </c>
      <c r="F57">
        <v>1572</v>
      </c>
      <c r="G57">
        <f t="shared" si="5"/>
        <v>0.12086513994910941</v>
      </c>
    </row>
    <row r="58" spans="1:7" x14ac:dyDescent="0.35">
      <c r="A58" t="s">
        <v>102</v>
      </c>
      <c r="B58">
        <v>146</v>
      </c>
      <c r="C58">
        <v>20</v>
      </c>
      <c r="D58">
        <v>7</v>
      </c>
      <c r="E58">
        <f t="shared" si="4"/>
        <v>173</v>
      </c>
      <c r="F58">
        <v>1635</v>
      </c>
      <c r="G58">
        <f t="shared" si="5"/>
        <v>0.10581039755351682</v>
      </c>
    </row>
    <row r="59" spans="1:7" x14ac:dyDescent="0.35">
      <c r="A59" t="s">
        <v>103</v>
      </c>
      <c r="B59">
        <v>252</v>
      </c>
      <c r="C59">
        <v>24</v>
      </c>
      <c r="D59">
        <v>40</v>
      </c>
      <c r="E59">
        <f t="shared" si="4"/>
        <v>316</v>
      </c>
      <c r="F59">
        <v>2695</v>
      </c>
      <c r="G59">
        <f t="shared" si="5"/>
        <v>0.11725417439703154</v>
      </c>
    </row>
    <row r="60" spans="1:7" x14ac:dyDescent="0.35">
      <c r="A60" t="s">
        <v>104</v>
      </c>
      <c r="B60">
        <v>387</v>
      </c>
      <c r="C60">
        <v>63</v>
      </c>
      <c r="D60">
        <v>64</v>
      </c>
      <c r="E60">
        <f t="shared" si="4"/>
        <v>514</v>
      </c>
      <c r="F60">
        <v>5884</v>
      </c>
      <c r="G60">
        <f t="shared" si="5"/>
        <v>8.7355540448674371E-2</v>
      </c>
    </row>
    <row r="61" spans="1:7" x14ac:dyDescent="0.35">
      <c r="A61" t="s">
        <v>105</v>
      </c>
      <c r="B61">
        <v>297</v>
      </c>
      <c r="C61">
        <v>64</v>
      </c>
      <c r="D61">
        <v>26</v>
      </c>
      <c r="E61">
        <f t="shared" si="4"/>
        <v>387</v>
      </c>
      <c r="F61">
        <v>4211</v>
      </c>
      <c r="G61">
        <f t="shared" si="5"/>
        <v>9.1902161006886723E-2</v>
      </c>
    </row>
    <row r="62" spans="1:7" x14ac:dyDescent="0.35">
      <c r="A62" t="s">
        <v>106</v>
      </c>
      <c r="B62">
        <v>178</v>
      </c>
      <c r="C62">
        <v>35</v>
      </c>
      <c r="D62">
        <v>5</v>
      </c>
      <c r="E62">
        <f t="shared" si="4"/>
        <v>218</v>
      </c>
      <c r="F62">
        <v>2469</v>
      </c>
      <c r="G62">
        <f t="shared" si="5"/>
        <v>8.8294856217091947E-2</v>
      </c>
    </row>
    <row r="63" spans="1:7" x14ac:dyDescent="0.35">
      <c r="A63" t="s">
        <v>107</v>
      </c>
      <c r="B63">
        <v>152</v>
      </c>
      <c r="C63">
        <v>199</v>
      </c>
      <c r="D63">
        <v>29</v>
      </c>
      <c r="E63">
        <f t="shared" si="4"/>
        <v>380</v>
      </c>
      <c r="F63">
        <v>9708</v>
      </c>
      <c r="G63">
        <f t="shared" si="5"/>
        <v>3.9142974866089822E-2</v>
      </c>
    </row>
    <row r="64" spans="1:7" x14ac:dyDescent="0.35">
      <c r="A64" t="s">
        <v>108</v>
      </c>
      <c r="B64">
        <v>367</v>
      </c>
      <c r="C64">
        <v>213</v>
      </c>
      <c r="D64">
        <v>76</v>
      </c>
      <c r="E64">
        <f t="shared" si="4"/>
        <v>656</v>
      </c>
      <c r="F64">
        <v>14730</v>
      </c>
      <c r="G64">
        <f t="shared" si="5"/>
        <v>4.4534962661235571E-2</v>
      </c>
    </row>
    <row r="65" spans="1:7" x14ac:dyDescent="0.35">
      <c r="A65" t="s">
        <v>109</v>
      </c>
      <c r="B65">
        <v>501</v>
      </c>
      <c r="C65">
        <v>194</v>
      </c>
      <c r="D65">
        <v>58</v>
      </c>
      <c r="E65">
        <f t="shared" si="4"/>
        <v>753</v>
      </c>
      <c r="F65">
        <v>10800</v>
      </c>
      <c r="G65">
        <f t="shared" si="5"/>
        <v>6.9722222222222227E-2</v>
      </c>
    </row>
    <row r="66" spans="1:7" x14ac:dyDescent="0.35">
      <c r="A66" t="s">
        <v>110</v>
      </c>
      <c r="B66">
        <v>185</v>
      </c>
      <c r="C66">
        <v>108</v>
      </c>
      <c r="D66">
        <v>61</v>
      </c>
      <c r="E66">
        <f t="shared" si="4"/>
        <v>354</v>
      </c>
      <c r="F66">
        <v>5621</v>
      </c>
      <c r="G66">
        <f t="shared" si="5"/>
        <v>6.2978117772638315E-2</v>
      </c>
    </row>
    <row r="67" spans="1:7" x14ac:dyDescent="0.35">
      <c r="A67" t="s">
        <v>111</v>
      </c>
      <c r="B67">
        <v>628</v>
      </c>
      <c r="C67">
        <v>270</v>
      </c>
      <c r="D67">
        <v>48</v>
      </c>
      <c r="E67">
        <f t="shared" si="4"/>
        <v>946</v>
      </c>
      <c r="F67">
        <v>12871</v>
      </c>
      <c r="G67">
        <f t="shared" si="5"/>
        <v>7.349856266024396E-2</v>
      </c>
    </row>
    <row r="68" spans="1:7" x14ac:dyDescent="0.35">
      <c r="A68" t="s">
        <v>116</v>
      </c>
      <c r="B68">
        <v>486</v>
      </c>
      <c r="C68">
        <v>179</v>
      </c>
      <c r="D68">
        <v>139</v>
      </c>
      <c r="E68">
        <f t="shared" si="4"/>
        <v>804</v>
      </c>
      <c r="F68">
        <v>8892</v>
      </c>
      <c r="G68">
        <f t="shared" si="5"/>
        <v>9.041835357624832E-2</v>
      </c>
    </row>
    <row r="69" spans="1:7" x14ac:dyDescent="0.35">
      <c r="A69" t="s">
        <v>112</v>
      </c>
      <c r="B69">
        <v>509</v>
      </c>
      <c r="C69">
        <v>230</v>
      </c>
      <c r="D69">
        <v>63</v>
      </c>
      <c r="E69">
        <f t="shared" si="4"/>
        <v>802</v>
      </c>
      <c r="F69">
        <v>11426</v>
      </c>
      <c r="G69">
        <f t="shared" si="5"/>
        <v>7.0190792928408893E-2</v>
      </c>
    </row>
    <row r="70" spans="1:7" x14ac:dyDescent="0.35">
      <c r="A70" t="s">
        <v>113</v>
      </c>
      <c r="B70">
        <v>102</v>
      </c>
      <c r="C70">
        <v>37</v>
      </c>
      <c r="D70">
        <v>14</v>
      </c>
      <c r="E70">
        <f t="shared" si="4"/>
        <v>153</v>
      </c>
      <c r="F70">
        <v>2134</v>
      </c>
      <c r="G70">
        <f t="shared" si="5"/>
        <v>7.1696344892221181E-2</v>
      </c>
    </row>
    <row r="71" spans="1:7" x14ac:dyDescent="0.35">
      <c r="A71" t="s">
        <v>114</v>
      </c>
      <c r="B71">
        <v>649</v>
      </c>
      <c r="C71">
        <v>103</v>
      </c>
      <c r="D71">
        <v>293</v>
      </c>
      <c r="E71">
        <f t="shared" si="4"/>
        <v>1045</v>
      </c>
      <c r="F71">
        <v>6210</v>
      </c>
      <c r="G71">
        <f t="shared" si="5"/>
        <v>0.16827697262479871</v>
      </c>
    </row>
    <row r="72" spans="1:7" x14ac:dyDescent="0.35">
      <c r="A72" t="s">
        <v>115</v>
      </c>
      <c r="B72">
        <v>344</v>
      </c>
      <c r="C72">
        <v>191</v>
      </c>
      <c r="D72">
        <v>23</v>
      </c>
      <c r="E72">
        <f t="shared" si="4"/>
        <v>558</v>
      </c>
      <c r="F72">
        <v>10111</v>
      </c>
      <c r="G72">
        <f t="shared" si="5"/>
        <v>5.5187419641974086E-2</v>
      </c>
    </row>
    <row r="73" spans="1:7" x14ac:dyDescent="0.35">
      <c r="A73" t="s">
        <v>126</v>
      </c>
      <c r="B73">
        <v>4</v>
      </c>
      <c r="C73">
        <v>0</v>
      </c>
      <c r="D73">
        <v>0</v>
      </c>
      <c r="E73">
        <f t="shared" si="4"/>
        <v>4</v>
      </c>
      <c r="F73">
        <v>194</v>
      </c>
      <c r="G73">
        <f t="shared" si="5"/>
        <v>2.0618556701030927E-2</v>
      </c>
    </row>
    <row r="74" spans="1:7" x14ac:dyDescent="0.35">
      <c r="A74" t="s">
        <v>117</v>
      </c>
      <c r="B74">
        <v>309</v>
      </c>
      <c r="C74">
        <v>70</v>
      </c>
      <c r="D74">
        <v>44</v>
      </c>
      <c r="E74">
        <f t="shared" si="4"/>
        <v>423</v>
      </c>
      <c r="F74">
        <v>4803</v>
      </c>
      <c r="G74">
        <f t="shared" si="5"/>
        <v>8.8069956277326666E-2</v>
      </c>
    </row>
    <row r="75" spans="1:7" x14ac:dyDescent="0.35">
      <c r="A75" t="s">
        <v>118</v>
      </c>
      <c r="B75">
        <v>166</v>
      </c>
      <c r="C75">
        <v>47</v>
      </c>
      <c r="D75">
        <v>21</v>
      </c>
      <c r="E75">
        <f t="shared" si="4"/>
        <v>234</v>
      </c>
      <c r="F75">
        <v>3142</v>
      </c>
      <c r="G75">
        <f t="shared" si="5"/>
        <v>7.4474856779121579E-2</v>
      </c>
    </row>
    <row r="76" spans="1:7" x14ac:dyDescent="0.35">
      <c r="A76" t="s">
        <v>119</v>
      </c>
      <c r="B76">
        <v>190</v>
      </c>
      <c r="C76">
        <v>44</v>
      </c>
      <c r="D76">
        <v>35</v>
      </c>
      <c r="E76">
        <f t="shared" si="4"/>
        <v>269</v>
      </c>
      <c r="F76">
        <v>3013</v>
      </c>
      <c r="G76">
        <f t="shared" si="5"/>
        <v>8.9279787587122475E-2</v>
      </c>
    </row>
    <row r="77" spans="1:7" x14ac:dyDescent="0.35">
      <c r="A77" t="s">
        <v>120</v>
      </c>
      <c r="B77">
        <v>115</v>
      </c>
      <c r="C77">
        <v>49</v>
      </c>
      <c r="D77">
        <v>6</v>
      </c>
      <c r="E77">
        <f t="shared" si="4"/>
        <v>170</v>
      </c>
      <c r="F77">
        <v>3091</v>
      </c>
      <c r="G77">
        <f t="shared" si="5"/>
        <v>5.4998382400517631E-2</v>
      </c>
    </row>
    <row r="78" spans="1:7" x14ac:dyDescent="0.35">
      <c r="A78" t="s">
        <v>121</v>
      </c>
      <c r="B78">
        <v>150</v>
      </c>
      <c r="C78">
        <v>61</v>
      </c>
      <c r="D78">
        <v>16</v>
      </c>
      <c r="E78">
        <f t="shared" si="4"/>
        <v>227</v>
      </c>
      <c r="F78">
        <v>3175</v>
      </c>
      <c r="G78">
        <f t="shared" si="5"/>
        <v>7.1496062992125978E-2</v>
      </c>
    </row>
    <row r="79" spans="1:7" x14ac:dyDescent="0.35">
      <c r="A79" t="s">
        <v>122</v>
      </c>
      <c r="B79">
        <v>128</v>
      </c>
      <c r="C79">
        <v>56</v>
      </c>
      <c r="D79">
        <v>13</v>
      </c>
      <c r="E79">
        <f t="shared" si="4"/>
        <v>197</v>
      </c>
      <c r="F79">
        <v>2747</v>
      </c>
      <c r="G79">
        <f t="shared" si="5"/>
        <v>7.1714597742992353E-2</v>
      </c>
    </row>
    <row r="80" spans="1:7" x14ac:dyDescent="0.35">
      <c r="A80" t="s">
        <v>123</v>
      </c>
      <c r="B80">
        <v>81</v>
      </c>
      <c r="C80">
        <v>55</v>
      </c>
      <c r="D80">
        <v>14</v>
      </c>
      <c r="E80">
        <f t="shared" si="4"/>
        <v>150</v>
      </c>
      <c r="F80">
        <v>4131</v>
      </c>
      <c r="G80">
        <f t="shared" si="5"/>
        <v>3.6310820624546117E-2</v>
      </c>
    </row>
    <row r="81" spans="1:7" x14ac:dyDescent="0.35">
      <c r="A81" t="s">
        <v>124</v>
      </c>
      <c r="B81">
        <v>155</v>
      </c>
      <c r="C81">
        <v>48</v>
      </c>
      <c r="D81">
        <v>23</v>
      </c>
      <c r="E81">
        <f t="shared" si="4"/>
        <v>226</v>
      </c>
      <c r="F81">
        <v>2892</v>
      </c>
      <c r="G81">
        <f t="shared" si="5"/>
        <v>7.8146611341632088E-2</v>
      </c>
    </row>
    <row r="82" spans="1:7" x14ac:dyDescent="0.35">
      <c r="A82" t="s">
        <v>125</v>
      </c>
      <c r="B82">
        <v>117</v>
      </c>
      <c r="C82">
        <v>60</v>
      </c>
      <c r="D82">
        <v>20</v>
      </c>
      <c r="E82">
        <f t="shared" si="4"/>
        <v>197</v>
      </c>
      <c r="F82">
        <v>3884</v>
      </c>
      <c r="G82">
        <f t="shared" si="5"/>
        <v>5.0720906282183315E-2</v>
      </c>
    </row>
  </sheetData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1C521C-C8E2-4556-A396-78E0C990B1CA}">
  <dimension ref="A1:E82"/>
  <sheetViews>
    <sheetView topLeftCell="A65" workbookViewId="0">
      <selection activeCell="A73" sqref="A73"/>
    </sheetView>
  </sheetViews>
  <sheetFormatPr defaultRowHeight="14.5" x14ac:dyDescent="0.35"/>
  <cols>
    <col min="1" max="1" width="39" customWidth="1"/>
    <col min="2" max="2" width="43.6328125" customWidth="1"/>
    <col min="3" max="3" width="24.36328125" customWidth="1"/>
    <col min="4" max="4" width="42.6328125" customWidth="1"/>
  </cols>
  <sheetData>
    <row r="1" spans="1:5" x14ac:dyDescent="0.35">
      <c r="A1" s="1" t="s">
        <v>0</v>
      </c>
      <c r="B1" s="1" t="s">
        <v>74</v>
      </c>
    </row>
    <row r="2" spans="1:5" x14ac:dyDescent="0.35">
      <c r="A2" t="s">
        <v>1</v>
      </c>
      <c r="B2">
        <v>8.5000000000000006E-2</v>
      </c>
    </row>
    <row r="3" spans="1:5" x14ac:dyDescent="0.35">
      <c r="A3" t="s">
        <v>43</v>
      </c>
      <c r="B3">
        <v>0.18</v>
      </c>
    </row>
    <row r="4" spans="1:5" x14ac:dyDescent="0.35">
      <c r="A4" t="s">
        <v>3</v>
      </c>
      <c r="B4">
        <v>0.09</v>
      </c>
      <c r="D4" t="s">
        <v>73</v>
      </c>
    </row>
    <row r="5" spans="1:5" x14ac:dyDescent="0.35">
      <c r="A5" t="s">
        <v>4</v>
      </c>
      <c r="B5">
        <v>8.5000000000000006E-2</v>
      </c>
    </row>
    <row r="6" spans="1:5" x14ac:dyDescent="0.35">
      <c r="A6" t="s">
        <v>5</v>
      </c>
      <c r="B6">
        <v>0.09</v>
      </c>
    </row>
    <row r="7" spans="1:5" x14ac:dyDescent="0.35">
      <c r="A7" t="s">
        <v>6</v>
      </c>
      <c r="B7">
        <v>8.5000000000000006E-2</v>
      </c>
    </row>
    <row r="8" spans="1:5" x14ac:dyDescent="0.35">
      <c r="A8" t="s">
        <v>7</v>
      </c>
      <c r="B8">
        <v>7.0000000000000007E-2</v>
      </c>
    </row>
    <row r="9" spans="1:5" x14ac:dyDescent="0.35">
      <c r="A9" t="s">
        <v>8</v>
      </c>
      <c r="B9">
        <v>0.09</v>
      </c>
    </row>
    <row r="10" spans="1:5" x14ac:dyDescent="0.35">
      <c r="A10" t="s">
        <v>9</v>
      </c>
      <c r="B10">
        <v>0.18</v>
      </c>
    </row>
    <row r="11" spans="1:5" x14ac:dyDescent="0.35">
      <c r="A11" t="s">
        <v>44</v>
      </c>
      <c r="B11">
        <v>0.13500000000000001</v>
      </c>
    </row>
    <row r="12" spans="1:5" x14ac:dyDescent="0.35">
      <c r="A12" t="s">
        <v>45</v>
      </c>
      <c r="B12">
        <v>0.22</v>
      </c>
      <c r="D12" s="1" t="s">
        <v>27</v>
      </c>
      <c r="E12">
        <v>10</v>
      </c>
    </row>
    <row r="13" spans="1:5" x14ac:dyDescent="0.35">
      <c r="A13" t="s">
        <v>55</v>
      </c>
      <c r="B13">
        <v>0.22</v>
      </c>
      <c r="D13" s="1" t="s">
        <v>59</v>
      </c>
      <c r="E13">
        <v>4</v>
      </c>
    </row>
    <row r="14" spans="1:5" x14ac:dyDescent="0.35">
      <c r="A14" t="s">
        <v>46</v>
      </c>
      <c r="B14">
        <v>0.108</v>
      </c>
    </row>
    <row r="15" spans="1:5" x14ac:dyDescent="0.35">
      <c r="A15" t="s">
        <v>47</v>
      </c>
      <c r="B15">
        <v>7.5999999999999998E-2</v>
      </c>
    </row>
    <row r="16" spans="1:5" x14ac:dyDescent="0.35">
      <c r="A16" t="s">
        <v>48</v>
      </c>
      <c r="B16">
        <v>0.13500000000000001</v>
      </c>
    </row>
    <row r="17" spans="1:2" x14ac:dyDescent="0.35">
      <c r="A17" t="s">
        <v>54</v>
      </c>
      <c r="B17">
        <v>0.13500000000000001</v>
      </c>
    </row>
    <row r="18" spans="1:2" x14ac:dyDescent="0.35">
      <c r="A18" t="s">
        <v>49</v>
      </c>
      <c r="B18">
        <v>7.5999999999999998E-2</v>
      </c>
    </row>
    <row r="19" spans="1:2" x14ac:dyDescent="0.35">
      <c r="A19" t="s">
        <v>50</v>
      </c>
      <c r="B19">
        <v>0.20599999999999999</v>
      </c>
    </row>
    <row r="20" spans="1:2" x14ac:dyDescent="0.35">
      <c r="A20" t="s">
        <v>51</v>
      </c>
      <c r="B20">
        <v>0.09</v>
      </c>
    </row>
    <row r="21" spans="1:2" x14ac:dyDescent="0.35">
      <c r="A21" t="s">
        <v>52</v>
      </c>
      <c r="B21">
        <v>9.6000000000000002E-2</v>
      </c>
    </row>
    <row r="22" spans="1:2" x14ac:dyDescent="0.35">
      <c r="A22" t="s">
        <v>57</v>
      </c>
      <c r="B22">
        <v>7.5999999999999998E-2</v>
      </c>
    </row>
    <row r="23" spans="1:2" x14ac:dyDescent="0.35">
      <c r="A23" t="s">
        <v>61</v>
      </c>
      <c r="B23">
        <v>0.26800000000000002</v>
      </c>
    </row>
    <row r="24" spans="1:2" x14ac:dyDescent="0.35">
      <c r="A24" t="s">
        <v>62</v>
      </c>
      <c r="B24">
        <v>0.185</v>
      </c>
    </row>
    <row r="25" spans="1:2" x14ac:dyDescent="0.35">
      <c r="A25" t="s">
        <v>63</v>
      </c>
      <c r="B25">
        <v>0.185</v>
      </c>
    </row>
    <row r="26" spans="1:2" x14ac:dyDescent="0.35">
      <c r="A26" t="s">
        <v>64</v>
      </c>
      <c r="B26">
        <v>0.26800000000000002</v>
      </c>
    </row>
    <row r="27" spans="1:2" x14ac:dyDescent="0.35">
      <c r="A27" t="s">
        <v>65</v>
      </c>
      <c r="B27">
        <v>0.185</v>
      </c>
    </row>
    <row r="28" spans="1:2" x14ac:dyDescent="0.35">
      <c r="A28" t="s">
        <v>66</v>
      </c>
      <c r="B28">
        <v>0.37</v>
      </c>
    </row>
    <row r="29" spans="1:2" x14ac:dyDescent="0.35">
      <c r="A29" t="s">
        <v>67</v>
      </c>
      <c r="B29">
        <v>0.185</v>
      </c>
    </row>
    <row r="30" spans="1:2" x14ac:dyDescent="0.35">
      <c r="A30" t="s">
        <v>68</v>
      </c>
      <c r="B30">
        <v>0.185</v>
      </c>
    </row>
    <row r="31" spans="1:2" x14ac:dyDescent="0.35">
      <c r="A31" t="s">
        <v>69</v>
      </c>
      <c r="B31">
        <v>0.31</v>
      </c>
    </row>
    <row r="32" spans="1:2" x14ac:dyDescent="0.35">
      <c r="A32" t="s">
        <v>70</v>
      </c>
      <c r="B32">
        <v>0.37</v>
      </c>
    </row>
    <row r="33" spans="1:2" x14ac:dyDescent="0.35">
      <c r="A33" t="s">
        <v>77</v>
      </c>
      <c r="B33">
        <v>0.32</v>
      </c>
    </row>
    <row r="34" spans="1:2" x14ac:dyDescent="0.35">
      <c r="A34" t="s">
        <v>78</v>
      </c>
      <c r="B34">
        <v>0.22</v>
      </c>
    </row>
    <row r="35" spans="1:2" x14ac:dyDescent="0.35">
      <c r="A35" t="s">
        <v>79</v>
      </c>
      <c r="B35">
        <v>0.26</v>
      </c>
    </row>
    <row r="36" spans="1:2" x14ac:dyDescent="0.35">
      <c r="A36" t="s">
        <v>80</v>
      </c>
      <c r="B36">
        <v>0.25</v>
      </c>
    </row>
    <row r="37" spans="1:2" x14ac:dyDescent="0.35">
      <c r="A37" t="s">
        <v>81</v>
      </c>
      <c r="B37">
        <v>0.19</v>
      </c>
    </row>
    <row r="38" spans="1:2" x14ac:dyDescent="0.35">
      <c r="A38" t="s">
        <v>82</v>
      </c>
      <c r="B38">
        <v>0.2</v>
      </c>
    </row>
    <row r="39" spans="1:2" x14ac:dyDescent="0.35">
      <c r="A39" t="s">
        <v>83</v>
      </c>
      <c r="B39">
        <v>0.21</v>
      </c>
    </row>
    <row r="40" spans="1:2" x14ac:dyDescent="0.35">
      <c r="A40" t="s">
        <v>84</v>
      </c>
      <c r="B40">
        <v>0.34</v>
      </c>
    </row>
    <row r="41" spans="1:2" x14ac:dyDescent="0.35">
      <c r="A41" t="s">
        <v>85</v>
      </c>
      <c r="B41">
        <v>0.24</v>
      </c>
    </row>
    <row r="42" spans="1:2" x14ac:dyDescent="0.35">
      <c r="A42" t="s">
        <v>86</v>
      </c>
      <c r="B42">
        <v>0.18</v>
      </c>
    </row>
    <row r="43" spans="1:2" x14ac:dyDescent="0.35">
      <c r="A43" t="s">
        <v>87</v>
      </c>
      <c r="B43">
        <v>0.28699999999999998</v>
      </c>
    </row>
    <row r="44" spans="1:2" x14ac:dyDescent="0.35">
      <c r="A44" t="s">
        <v>88</v>
      </c>
      <c r="B44">
        <v>0.28699999999999998</v>
      </c>
    </row>
    <row r="45" spans="1:2" x14ac:dyDescent="0.35">
      <c r="A45" t="s">
        <v>89</v>
      </c>
      <c r="B45">
        <v>0.315</v>
      </c>
    </row>
    <row r="46" spans="1:2" x14ac:dyDescent="0.35">
      <c r="A46" t="s">
        <v>90</v>
      </c>
      <c r="B46">
        <v>0.18</v>
      </c>
    </row>
    <row r="47" spans="1:2" x14ac:dyDescent="0.35">
      <c r="A47" t="s">
        <v>91</v>
      </c>
      <c r="B47">
        <v>0.11</v>
      </c>
    </row>
    <row r="48" spans="1:2" x14ac:dyDescent="0.35">
      <c r="A48" t="s">
        <v>92</v>
      </c>
      <c r="B48">
        <v>0.11</v>
      </c>
    </row>
    <row r="49" spans="1:2" x14ac:dyDescent="0.35">
      <c r="A49" t="s">
        <v>94</v>
      </c>
      <c r="B49">
        <v>0.3</v>
      </c>
    </row>
    <row r="50" spans="1:2" x14ac:dyDescent="0.35">
      <c r="A50" t="s">
        <v>93</v>
      </c>
      <c r="B50">
        <v>0.13</v>
      </c>
    </row>
    <row r="51" spans="1:2" x14ac:dyDescent="0.35">
      <c r="A51" t="s">
        <v>95</v>
      </c>
      <c r="B51">
        <v>0.13</v>
      </c>
    </row>
    <row r="52" spans="1:2" x14ac:dyDescent="0.35">
      <c r="A52" t="s">
        <v>96</v>
      </c>
      <c r="B52">
        <v>0.12</v>
      </c>
    </row>
    <row r="53" spans="1:2" x14ac:dyDescent="0.35">
      <c r="A53" t="s">
        <v>99</v>
      </c>
      <c r="B53">
        <v>0.38</v>
      </c>
    </row>
    <row r="54" spans="1:2" x14ac:dyDescent="0.35">
      <c r="A54" t="s">
        <v>97</v>
      </c>
      <c r="B54">
        <v>0.27900000000000003</v>
      </c>
    </row>
    <row r="55" spans="1:2" x14ac:dyDescent="0.35">
      <c r="A55" t="s">
        <v>98</v>
      </c>
      <c r="B55">
        <v>0.27</v>
      </c>
    </row>
    <row r="56" spans="1:2" x14ac:dyDescent="0.35">
      <c r="A56" t="s">
        <v>100</v>
      </c>
      <c r="B56">
        <v>0.36</v>
      </c>
    </row>
    <row r="57" spans="1:2" x14ac:dyDescent="0.35">
      <c r="A57" t="s">
        <v>101</v>
      </c>
      <c r="B57">
        <v>0.27</v>
      </c>
    </row>
    <row r="58" spans="1:2" x14ac:dyDescent="0.35">
      <c r="A58" t="s">
        <v>102</v>
      </c>
      <c r="B58">
        <v>0.28999999999999998</v>
      </c>
    </row>
    <row r="59" spans="1:2" x14ac:dyDescent="0.35">
      <c r="A59" t="s">
        <v>103</v>
      </c>
      <c r="B59">
        <v>0.3</v>
      </c>
    </row>
    <row r="60" spans="1:2" x14ac:dyDescent="0.35">
      <c r="A60" t="s">
        <v>104</v>
      </c>
      <c r="B60">
        <v>0.28000000000000003</v>
      </c>
    </row>
    <row r="61" spans="1:2" x14ac:dyDescent="0.35">
      <c r="A61" t="s">
        <v>105</v>
      </c>
      <c r="B61">
        <v>0.28999999999999998</v>
      </c>
    </row>
    <row r="62" spans="1:2" x14ac:dyDescent="0.35">
      <c r="A62" t="s">
        <v>106</v>
      </c>
      <c r="B62">
        <v>0.3</v>
      </c>
    </row>
    <row r="63" spans="1:2" x14ac:dyDescent="0.35">
      <c r="A63" t="s">
        <v>107</v>
      </c>
      <c r="B63">
        <v>0.152</v>
      </c>
    </row>
    <row r="64" spans="1:2" x14ac:dyDescent="0.35">
      <c r="A64" t="s">
        <v>108</v>
      </c>
      <c r="B64">
        <v>0.2</v>
      </c>
    </row>
    <row r="65" spans="1:2" x14ac:dyDescent="0.35">
      <c r="A65" t="s">
        <v>109</v>
      </c>
      <c r="B65">
        <v>0.16</v>
      </c>
    </row>
    <row r="66" spans="1:2" x14ac:dyDescent="0.35">
      <c r="A66" t="s">
        <v>110</v>
      </c>
      <c r="B66">
        <v>0.9</v>
      </c>
    </row>
    <row r="67" spans="1:2" x14ac:dyDescent="0.35">
      <c r="A67" t="s">
        <v>111</v>
      </c>
      <c r="B67">
        <v>0.21</v>
      </c>
    </row>
    <row r="68" spans="1:2" x14ac:dyDescent="0.35">
      <c r="A68" t="s">
        <v>116</v>
      </c>
      <c r="B68">
        <v>0.1</v>
      </c>
    </row>
    <row r="69" spans="1:2" x14ac:dyDescent="0.35">
      <c r="A69" t="s">
        <v>112</v>
      </c>
      <c r="B69">
        <v>0.21</v>
      </c>
    </row>
    <row r="70" spans="1:2" x14ac:dyDescent="0.35">
      <c r="A70" t="s">
        <v>113</v>
      </c>
      <c r="B70">
        <v>0.2</v>
      </c>
    </row>
    <row r="71" spans="1:2" x14ac:dyDescent="0.35">
      <c r="A71" t="s">
        <v>114</v>
      </c>
      <c r="B71">
        <v>0.32</v>
      </c>
    </row>
    <row r="72" spans="1:2" x14ac:dyDescent="0.35">
      <c r="A72" t="s">
        <v>115</v>
      </c>
      <c r="B72">
        <v>0.21</v>
      </c>
    </row>
    <row r="73" spans="1:2" x14ac:dyDescent="0.35">
      <c r="A73" t="s">
        <v>126</v>
      </c>
      <c r="B73">
        <v>0.42</v>
      </c>
    </row>
    <row r="74" spans="1:2" x14ac:dyDescent="0.35">
      <c r="A74" t="s">
        <v>117</v>
      </c>
      <c r="B74">
        <v>0.42</v>
      </c>
    </row>
    <row r="75" spans="1:2" x14ac:dyDescent="0.35">
      <c r="A75" t="s">
        <v>118</v>
      </c>
      <c r="B75">
        <v>0.44</v>
      </c>
    </row>
    <row r="76" spans="1:2" x14ac:dyDescent="0.35">
      <c r="A76" t="s">
        <v>119</v>
      </c>
      <c r="B76">
        <v>0.42</v>
      </c>
    </row>
    <row r="77" spans="1:2" x14ac:dyDescent="0.35">
      <c r="A77" t="s">
        <v>120</v>
      </c>
      <c r="B77">
        <v>0.36</v>
      </c>
    </row>
    <row r="78" spans="1:2" x14ac:dyDescent="0.35">
      <c r="A78" t="s">
        <v>121</v>
      </c>
      <c r="B78">
        <v>0.44</v>
      </c>
    </row>
    <row r="79" spans="1:2" x14ac:dyDescent="0.35">
      <c r="A79" t="s">
        <v>122</v>
      </c>
      <c r="B79">
        <v>0.44</v>
      </c>
    </row>
    <row r="80" spans="1:2" x14ac:dyDescent="0.35">
      <c r="A80" t="s">
        <v>123</v>
      </c>
      <c r="B80">
        <v>0.36</v>
      </c>
    </row>
    <row r="81" spans="1:2" x14ac:dyDescent="0.35">
      <c r="A81" t="s">
        <v>124</v>
      </c>
      <c r="B81">
        <v>0.39</v>
      </c>
    </row>
    <row r="82" spans="1:2" x14ac:dyDescent="0.35">
      <c r="A82" t="s">
        <v>125</v>
      </c>
      <c r="B82">
        <v>0.39</v>
      </c>
    </row>
  </sheetData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E3B4E7-40F3-4C73-85FA-8EE2721455E2}">
  <dimension ref="A1:E87"/>
  <sheetViews>
    <sheetView tabSelected="1" topLeftCell="B1" workbookViewId="0">
      <selection activeCell="E11" sqref="E11"/>
    </sheetView>
  </sheetViews>
  <sheetFormatPr defaultRowHeight="14.5" x14ac:dyDescent="0.35"/>
  <cols>
    <col min="1" max="1" width="54.6328125" customWidth="1"/>
    <col min="2" max="2" width="27.6328125" customWidth="1"/>
    <col min="3" max="3" width="53.7265625" customWidth="1"/>
    <col min="4" max="4" width="22.1796875" customWidth="1"/>
    <col min="5" max="5" width="31.7265625" customWidth="1"/>
  </cols>
  <sheetData>
    <row r="1" spans="1:5" x14ac:dyDescent="0.35">
      <c r="A1" s="1" t="s">
        <v>0</v>
      </c>
      <c r="B1" s="1" t="s">
        <v>37</v>
      </c>
      <c r="C1" s="1" t="s">
        <v>36</v>
      </c>
      <c r="D1" s="1" t="s">
        <v>13</v>
      </c>
      <c r="E1" s="1" t="s">
        <v>42</v>
      </c>
    </row>
    <row r="2" spans="1:5" x14ac:dyDescent="0.35">
      <c r="A2" t="s">
        <v>1</v>
      </c>
      <c r="B2">
        <f>33.7%</f>
        <v>0.33700000000000002</v>
      </c>
      <c r="D2">
        <f>C2+B2</f>
        <v>0.33700000000000002</v>
      </c>
      <c r="E2">
        <f t="shared" ref="E2:E10" si="0">D2</f>
        <v>0.33700000000000002</v>
      </c>
    </row>
    <row r="3" spans="1:5" x14ac:dyDescent="0.35">
      <c r="A3" t="s">
        <v>58</v>
      </c>
      <c r="B3">
        <v>0.25</v>
      </c>
      <c r="D3">
        <f t="shared" ref="D3:D10" si="1">C3+B3</f>
        <v>0.25</v>
      </c>
      <c r="E3">
        <f t="shared" si="0"/>
        <v>0.25</v>
      </c>
    </row>
    <row r="4" spans="1:5" x14ac:dyDescent="0.35">
      <c r="A4" t="s">
        <v>3</v>
      </c>
      <c r="B4">
        <v>0.317</v>
      </c>
      <c r="D4">
        <f t="shared" si="1"/>
        <v>0.317</v>
      </c>
      <c r="E4">
        <f t="shared" si="0"/>
        <v>0.317</v>
      </c>
    </row>
    <row r="5" spans="1:5" x14ac:dyDescent="0.35">
      <c r="A5" t="s">
        <v>4</v>
      </c>
      <c r="B5">
        <v>0.41599999999999998</v>
      </c>
      <c r="D5">
        <f t="shared" si="1"/>
        <v>0.41599999999999998</v>
      </c>
      <c r="E5">
        <f t="shared" si="0"/>
        <v>0.41599999999999998</v>
      </c>
    </row>
    <row r="6" spans="1:5" x14ac:dyDescent="0.35">
      <c r="A6" t="s">
        <v>5</v>
      </c>
      <c r="B6">
        <v>0.373</v>
      </c>
      <c r="D6">
        <f t="shared" si="1"/>
        <v>0.373</v>
      </c>
      <c r="E6">
        <f t="shared" si="0"/>
        <v>0.373</v>
      </c>
    </row>
    <row r="7" spans="1:5" x14ac:dyDescent="0.35">
      <c r="A7" t="s">
        <v>6</v>
      </c>
      <c r="B7">
        <v>0.40400000000000003</v>
      </c>
      <c r="D7">
        <f t="shared" si="1"/>
        <v>0.40400000000000003</v>
      </c>
      <c r="E7">
        <f t="shared" si="0"/>
        <v>0.40400000000000003</v>
      </c>
    </row>
    <row r="8" spans="1:5" x14ac:dyDescent="0.35">
      <c r="A8" t="s">
        <v>7</v>
      </c>
      <c r="B8">
        <v>0.33</v>
      </c>
      <c r="D8">
        <f t="shared" si="1"/>
        <v>0.33</v>
      </c>
      <c r="E8">
        <f t="shared" si="0"/>
        <v>0.33</v>
      </c>
    </row>
    <row r="9" spans="1:5" x14ac:dyDescent="0.35">
      <c r="A9" t="s">
        <v>8</v>
      </c>
      <c r="B9">
        <v>0.35299999999999998</v>
      </c>
      <c r="D9">
        <f t="shared" si="1"/>
        <v>0.35299999999999998</v>
      </c>
      <c r="E9">
        <f t="shared" si="0"/>
        <v>0.35299999999999998</v>
      </c>
    </row>
    <row r="10" spans="1:5" x14ac:dyDescent="0.35">
      <c r="A10" t="s">
        <v>9</v>
      </c>
      <c r="B10">
        <v>0.21199999999999999</v>
      </c>
      <c r="D10">
        <f t="shared" si="1"/>
        <v>0.21199999999999999</v>
      </c>
      <c r="E10">
        <f t="shared" si="0"/>
        <v>0.21199999999999999</v>
      </c>
    </row>
    <row r="12" spans="1:5" x14ac:dyDescent="0.35">
      <c r="A12" t="s">
        <v>38</v>
      </c>
      <c r="B12">
        <f>0.331</f>
        <v>0.33100000000000002</v>
      </c>
    </row>
    <row r="13" spans="1:5" x14ac:dyDescent="0.35">
      <c r="A13" t="s">
        <v>39</v>
      </c>
      <c r="B13">
        <v>0</v>
      </c>
      <c r="C13">
        <f>0.058</f>
        <v>5.8000000000000003E-2</v>
      </c>
    </row>
    <row r="14" spans="1:5" x14ac:dyDescent="0.35">
      <c r="A14" t="s">
        <v>41</v>
      </c>
    </row>
    <row r="16" spans="1:5" x14ac:dyDescent="0.35">
      <c r="A16" t="s">
        <v>44</v>
      </c>
      <c r="B16">
        <v>0.218</v>
      </c>
      <c r="D16">
        <f>SUM(B16:C16)</f>
        <v>0.218</v>
      </c>
      <c r="E16">
        <f>D16-B14</f>
        <v>0.218</v>
      </c>
    </row>
    <row r="17" spans="1:5" x14ac:dyDescent="0.35">
      <c r="A17" t="s">
        <v>45</v>
      </c>
      <c r="B17">
        <v>0.38</v>
      </c>
      <c r="D17">
        <f t="shared" ref="D17:D26" si="2">SUM(B17:C17)</f>
        <v>0.38</v>
      </c>
      <c r="E17">
        <f>D17-B14</f>
        <v>0.38</v>
      </c>
    </row>
    <row r="18" spans="1:5" x14ac:dyDescent="0.35">
      <c r="A18" t="s">
        <v>55</v>
      </c>
      <c r="B18">
        <v>0.30599999999999999</v>
      </c>
      <c r="D18">
        <f t="shared" si="2"/>
        <v>0.30599999999999999</v>
      </c>
      <c r="E18">
        <f>D18-B14</f>
        <v>0.30599999999999999</v>
      </c>
    </row>
    <row r="19" spans="1:5" x14ac:dyDescent="0.35">
      <c r="A19" t="s">
        <v>46</v>
      </c>
      <c r="B19">
        <v>0.33700000000000002</v>
      </c>
      <c r="D19">
        <f t="shared" si="2"/>
        <v>0.33700000000000002</v>
      </c>
      <c r="E19">
        <f>D19-B14</f>
        <v>0.33700000000000002</v>
      </c>
    </row>
    <row r="20" spans="1:5" x14ac:dyDescent="0.35">
      <c r="A20" t="s">
        <v>47</v>
      </c>
      <c r="B20">
        <v>0.50800000000000001</v>
      </c>
      <c r="D20">
        <f t="shared" si="2"/>
        <v>0.50800000000000001</v>
      </c>
      <c r="E20">
        <f>D20-B14</f>
        <v>0.50800000000000001</v>
      </c>
    </row>
    <row r="21" spans="1:5" x14ac:dyDescent="0.35">
      <c r="A21" t="s">
        <v>48</v>
      </c>
      <c r="B21">
        <v>0.19900000000000001</v>
      </c>
      <c r="D21">
        <f t="shared" si="2"/>
        <v>0.19900000000000001</v>
      </c>
      <c r="E21">
        <f>D21-B14</f>
        <v>0.19900000000000001</v>
      </c>
    </row>
    <row r="22" spans="1:5" x14ac:dyDescent="0.35">
      <c r="A22" t="s">
        <v>54</v>
      </c>
      <c r="B22">
        <v>0.16600000000000001</v>
      </c>
      <c r="D22">
        <f>SUM(B22:C22)</f>
        <v>0.16600000000000001</v>
      </c>
      <c r="E22">
        <f>D22-B14</f>
        <v>0.16600000000000001</v>
      </c>
    </row>
    <row r="23" spans="1:5" x14ac:dyDescent="0.35">
      <c r="A23" t="s">
        <v>49</v>
      </c>
      <c r="B23">
        <v>0.45100000000000001</v>
      </c>
      <c r="D23">
        <f>SUM(B23:C23)</f>
        <v>0.45100000000000001</v>
      </c>
      <c r="E23">
        <f>D23-B14</f>
        <v>0.45100000000000001</v>
      </c>
    </row>
    <row r="24" spans="1:5" x14ac:dyDescent="0.35">
      <c r="A24" t="s">
        <v>50</v>
      </c>
      <c r="B24">
        <v>0.191</v>
      </c>
      <c r="D24">
        <f>SUM(B24:C24)</f>
        <v>0.191</v>
      </c>
      <c r="E24">
        <f>D24-B14</f>
        <v>0.191</v>
      </c>
    </row>
    <row r="25" spans="1:5" x14ac:dyDescent="0.35">
      <c r="A25" t="s">
        <v>51</v>
      </c>
      <c r="B25">
        <v>0.44400000000000001</v>
      </c>
      <c r="D25">
        <f t="shared" si="2"/>
        <v>0.44400000000000001</v>
      </c>
      <c r="E25">
        <f>D25-B14</f>
        <v>0.44400000000000001</v>
      </c>
    </row>
    <row r="26" spans="1:5" x14ac:dyDescent="0.35">
      <c r="A26" t="s">
        <v>52</v>
      </c>
      <c r="B26">
        <v>0.318</v>
      </c>
      <c r="D26">
        <f t="shared" si="2"/>
        <v>0.318</v>
      </c>
      <c r="E26">
        <f>D26-B14</f>
        <v>0.318</v>
      </c>
    </row>
    <row r="27" spans="1:5" x14ac:dyDescent="0.35">
      <c r="A27" t="s">
        <v>57</v>
      </c>
      <c r="B27">
        <v>0.44900000000000001</v>
      </c>
      <c r="D27">
        <f t="shared" ref="D27:D39" si="3">SUM(B27:C27)</f>
        <v>0.44900000000000001</v>
      </c>
      <c r="E27">
        <f>D27-B14</f>
        <v>0.44900000000000001</v>
      </c>
    </row>
    <row r="28" spans="1:5" x14ac:dyDescent="0.35">
      <c r="A28" t="s">
        <v>61</v>
      </c>
      <c r="B28">
        <v>0.21199999999999999</v>
      </c>
      <c r="D28">
        <f t="shared" si="3"/>
        <v>0.21199999999999999</v>
      </c>
      <c r="E28">
        <f>D28-B14</f>
        <v>0.21199999999999999</v>
      </c>
    </row>
    <row r="29" spans="1:5" x14ac:dyDescent="0.35">
      <c r="A29" t="s">
        <v>62</v>
      </c>
      <c r="B29">
        <v>0.219</v>
      </c>
      <c r="D29">
        <f t="shared" si="3"/>
        <v>0.219</v>
      </c>
      <c r="E29">
        <f>D29-B14</f>
        <v>0.219</v>
      </c>
    </row>
    <row r="30" spans="1:5" x14ac:dyDescent="0.35">
      <c r="A30" t="s">
        <v>63</v>
      </c>
      <c r="B30">
        <v>0.33500000000000002</v>
      </c>
      <c r="D30">
        <f t="shared" si="3"/>
        <v>0.33500000000000002</v>
      </c>
      <c r="E30">
        <f>D30-B14</f>
        <v>0.33500000000000002</v>
      </c>
    </row>
    <row r="31" spans="1:5" x14ac:dyDescent="0.35">
      <c r="A31" t="s">
        <v>64</v>
      </c>
      <c r="B31">
        <v>0.159</v>
      </c>
      <c r="D31">
        <f t="shared" si="3"/>
        <v>0.159</v>
      </c>
      <c r="E31">
        <f>D31-B14</f>
        <v>0.159</v>
      </c>
    </row>
    <row r="32" spans="1:5" x14ac:dyDescent="0.35">
      <c r="A32" t="s">
        <v>65</v>
      </c>
      <c r="B32">
        <v>0.20200000000000001</v>
      </c>
      <c r="D32">
        <f t="shared" si="3"/>
        <v>0.20200000000000001</v>
      </c>
      <c r="E32">
        <f>D32-B14</f>
        <v>0.20200000000000001</v>
      </c>
    </row>
    <row r="33" spans="1:5" x14ac:dyDescent="0.35">
      <c r="A33" t="s">
        <v>66</v>
      </c>
      <c r="B33">
        <v>0.14199999999999999</v>
      </c>
      <c r="D33">
        <f t="shared" si="3"/>
        <v>0.14199999999999999</v>
      </c>
      <c r="E33">
        <f>D33-B14</f>
        <v>0.14199999999999999</v>
      </c>
    </row>
    <row r="34" spans="1:5" x14ac:dyDescent="0.35">
      <c r="A34" t="s">
        <v>67</v>
      </c>
      <c r="B34">
        <v>0.24</v>
      </c>
      <c r="D34">
        <f t="shared" si="3"/>
        <v>0.24</v>
      </c>
      <c r="E34">
        <f>D34-B14</f>
        <v>0.24</v>
      </c>
    </row>
    <row r="35" spans="1:5" x14ac:dyDescent="0.35">
      <c r="A35" t="s">
        <v>68</v>
      </c>
      <c r="B35">
        <v>0.27700000000000002</v>
      </c>
      <c r="D35">
        <f t="shared" si="3"/>
        <v>0.27700000000000002</v>
      </c>
      <c r="E35">
        <f>D35-B14</f>
        <v>0.27700000000000002</v>
      </c>
    </row>
    <row r="36" spans="1:5" x14ac:dyDescent="0.35">
      <c r="A36" t="s">
        <v>69</v>
      </c>
      <c r="B36">
        <v>0.29699999999999999</v>
      </c>
      <c r="D36">
        <f t="shared" si="3"/>
        <v>0.29699999999999999</v>
      </c>
      <c r="E36">
        <f>D36-B14</f>
        <v>0.29699999999999999</v>
      </c>
    </row>
    <row r="37" spans="1:5" x14ac:dyDescent="0.35">
      <c r="A37" t="s">
        <v>70</v>
      </c>
      <c r="B37">
        <v>0.3</v>
      </c>
      <c r="D37">
        <f t="shared" si="3"/>
        <v>0.3</v>
      </c>
      <c r="E37">
        <f>D37-B14</f>
        <v>0.3</v>
      </c>
    </row>
    <row r="38" spans="1:5" x14ac:dyDescent="0.35">
      <c r="A38" t="s">
        <v>77</v>
      </c>
      <c r="B38">
        <v>0.33600000000000002</v>
      </c>
      <c r="D38">
        <f t="shared" si="3"/>
        <v>0.33600000000000002</v>
      </c>
      <c r="E38">
        <f>D38-B14</f>
        <v>0.33600000000000002</v>
      </c>
    </row>
    <row r="39" spans="1:5" x14ac:dyDescent="0.35">
      <c r="A39" t="s">
        <v>78</v>
      </c>
      <c r="B39">
        <v>0.44600000000000001</v>
      </c>
      <c r="D39">
        <f t="shared" si="3"/>
        <v>0.44600000000000001</v>
      </c>
      <c r="E39">
        <f>D39-B14</f>
        <v>0.44600000000000001</v>
      </c>
    </row>
    <row r="40" spans="1:5" x14ac:dyDescent="0.35">
      <c r="A40" t="s">
        <v>79</v>
      </c>
      <c r="B40">
        <v>0.46899999999999997</v>
      </c>
      <c r="D40">
        <f t="shared" ref="D40:D87" si="4">SUM(B40:C40)</f>
        <v>0.46899999999999997</v>
      </c>
      <c r="E40">
        <f>D40-B14</f>
        <v>0.46899999999999997</v>
      </c>
    </row>
    <row r="41" spans="1:5" x14ac:dyDescent="0.35">
      <c r="A41" t="s">
        <v>80</v>
      </c>
      <c r="B41">
        <v>0.46700000000000003</v>
      </c>
      <c r="D41">
        <f t="shared" si="4"/>
        <v>0.46700000000000003</v>
      </c>
      <c r="E41">
        <f>D41-B14</f>
        <v>0.46700000000000003</v>
      </c>
    </row>
    <row r="42" spans="1:5" x14ac:dyDescent="0.35">
      <c r="A42" t="s">
        <v>81</v>
      </c>
      <c r="B42">
        <v>0.4</v>
      </c>
      <c r="D42">
        <f t="shared" si="4"/>
        <v>0.4</v>
      </c>
      <c r="E42">
        <f>D42-B14</f>
        <v>0.4</v>
      </c>
    </row>
    <row r="43" spans="1:5" x14ac:dyDescent="0.35">
      <c r="A43" t="s">
        <v>82</v>
      </c>
      <c r="B43">
        <v>0.33200000000000002</v>
      </c>
      <c r="D43">
        <f t="shared" si="4"/>
        <v>0.33200000000000002</v>
      </c>
      <c r="E43">
        <f>D43-B14</f>
        <v>0.33200000000000002</v>
      </c>
    </row>
    <row r="44" spans="1:5" x14ac:dyDescent="0.35">
      <c r="A44" t="s">
        <v>83</v>
      </c>
      <c r="B44">
        <v>0.39</v>
      </c>
      <c r="D44">
        <f t="shared" si="4"/>
        <v>0.39</v>
      </c>
      <c r="E44">
        <f>D44-B14</f>
        <v>0.39</v>
      </c>
    </row>
    <row r="45" spans="1:5" x14ac:dyDescent="0.35">
      <c r="A45" t="s">
        <v>84</v>
      </c>
      <c r="B45">
        <v>0.435</v>
      </c>
      <c r="D45">
        <f t="shared" si="4"/>
        <v>0.435</v>
      </c>
      <c r="E45">
        <f>D45-B14</f>
        <v>0.435</v>
      </c>
    </row>
    <row r="46" spans="1:5" x14ac:dyDescent="0.35">
      <c r="A46" t="s">
        <v>85</v>
      </c>
      <c r="B46">
        <v>0.33400000000000002</v>
      </c>
      <c r="D46">
        <f t="shared" si="4"/>
        <v>0.33400000000000002</v>
      </c>
      <c r="E46">
        <f>D46-B14</f>
        <v>0.33400000000000002</v>
      </c>
    </row>
    <row r="47" spans="1:5" x14ac:dyDescent="0.35">
      <c r="A47" t="s">
        <v>86</v>
      </c>
      <c r="B47">
        <v>0.39600000000000002</v>
      </c>
      <c r="D47">
        <f t="shared" si="4"/>
        <v>0.39600000000000002</v>
      </c>
      <c r="E47">
        <f>D47-B14</f>
        <v>0.39600000000000002</v>
      </c>
    </row>
    <row r="48" spans="1:5" x14ac:dyDescent="0.35">
      <c r="A48" t="s">
        <v>87</v>
      </c>
      <c r="B48">
        <v>0.183</v>
      </c>
      <c r="D48">
        <f t="shared" si="4"/>
        <v>0.183</v>
      </c>
      <c r="E48">
        <f>D48-B14</f>
        <v>0.183</v>
      </c>
    </row>
    <row r="49" spans="1:5" x14ac:dyDescent="0.35">
      <c r="A49" t="s">
        <v>88</v>
      </c>
      <c r="B49">
        <v>0.14499999999999999</v>
      </c>
      <c r="D49">
        <f t="shared" si="4"/>
        <v>0.14499999999999999</v>
      </c>
      <c r="E49">
        <f>D49-B14</f>
        <v>0.14499999999999999</v>
      </c>
    </row>
    <row r="50" spans="1:5" x14ac:dyDescent="0.35">
      <c r="A50" t="s">
        <v>89</v>
      </c>
      <c r="B50">
        <v>0.41599999999999998</v>
      </c>
      <c r="D50">
        <f t="shared" si="4"/>
        <v>0.41599999999999998</v>
      </c>
      <c r="E50">
        <f>D50-B14</f>
        <v>0.41599999999999998</v>
      </c>
    </row>
    <row r="51" spans="1:5" x14ac:dyDescent="0.35">
      <c r="A51" t="s">
        <v>90</v>
      </c>
      <c r="B51">
        <v>0.27400000000000002</v>
      </c>
      <c r="D51">
        <f t="shared" si="4"/>
        <v>0.27400000000000002</v>
      </c>
      <c r="E51">
        <f>D51-B14</f>
        <v>0.27400000000000002</v>
      </c>
    </row>
    <row r="52" spans="1:5" x14ac:dyDescent="0.35">
      <c r="A52" t="s">
        <v>91</v>
      </c>
      <c r="B52">
        <v>0.36699999999999999</v>
      </c>
      <c r="D52">
        <f t="shared" si="4"/>
        <v>0.36699999999999999</v>
      </c>
      <c r="E52">
        <f>D52-B14</f>
        <v>0.36699999999999999</v>
      </c>
    </row>
    <row r="53" spans="1:5" x14ac:dyDescent="0.35">
      <c r="A53" t="s">
        <v>92</v>
      </c>
      <c r="B53">
        <v>0.246</v>
      </c>
      <c r="D53">
        <f t="shared" si="4"/>
        <v>0.246</v>
      </c>
      <c r="E53">
        <f>D53-B14</f>
        <v>0.246</v>
      </c>
    </row>
    <row r="54" spans="1:5" x14ac:dyDescent="0.35">
      <c r="A54" t="s">
        <v>94</v>
      </c>
      <c r="B54">
        <v>0.40100000000000002</v>
      </c>
      <c r="D54">
        <f t="shared" si="4"/>
        <v>0.40100000000000002</v>
      </c>
      <c r="E54">
        <f>D54-B14</f>
        <v>0.40100000000000002</v>
      </c>
    </row>
    <row r="55" spans="1:5" x14ac:dyDescent="0.35">
      <c r="A55" t="s">
        <v>93</v>
      </c>
      <c r="B55">
        <v>0.28599999999999998</v>
      </c>
      <c r="D55">
        <f t="shared" si="4"/>
        <v>0.28599999999999998</v>
      </c>
      <c r="E55">
        <f>D55-B14</f>
        <v>0.28599999999999998</v>
      </c>
    </row>
    <row r="56" spans="1:5" x14ac:dyDescent="0.35">
      <c r="A56" t="s">
        <v>95</v>
      </c>
      <c r="B56">
        <v>0.33200000000000002</v>
      </c>
      <c r="D56">
        <f t="shared" si="4"/>
        <v>0.33200000000000002</v>
      </c>
      <c r="E56">
        <f>D56-B14</f>
        <v>0.33200000000000002</v>
      </c>
    </row>
    <row r="57" spans="1:5" x14ac:dyDescent="0.35">
      <c r="A57" t="s">
        <v>96</v>
      </c>
      <c r="B57">
        <v>0.32500000000000001</v>
      </c>
      <c r="D57">
        <f t="shared" si="4"/>
        <v>0.32500000000000001</v>
      </c>
      <c r="E57">
        <f>D57-B14</f>
        <v>0.32500000000000001</v>
      </c>
    </row>
    <row r="58" spans="1:5" x14ac:dyDescent="0.35">
      <c r="A58" t="s">
        <v>99</v>
      </c>
      <c r="B58">
        <v>0.32600000000000001</v>
      </c>
      <c r="D58">
        <f t="shared" si="4"/>
        <v>0.32600000000000001</v>
      </c>
      <c r="E58">
        <f>D58-B14</f>
        <v>0.32600000000000001</v>
      </c>
    </row>
    <row r="59" spans="1:5" x14ac:dyDescent="0.35">
      <c r="A59" t="s">
        <v>97</v>
      </c>
      <c r="B59">
        <v>0.374</v>
      </c>
      <c r="D59">
        <f t="shared" si="4"/>
        <v>0.374</v>
      </c>
      <c r="E59">
        <f>-B14+D59</f>
        <v>0.374</v>
      </c>
    </row>
    <row r="60" spans="1:5" x14ac:dyDescent="0.35">
      <c r="A60" t="s">
        <v>98</v>
      </c>
      <c r="B60">
        <v>0.45400000000000001</v>
      </c>
      <c r="D60">
        <f t="shared" si="4"/>
        <v>0.45400000000000001</v>
      </c>
      <c r="E60">
        <f>-B14+D60</f>
        <v>0.45400000000000001</v>
      </c>
    </row>
    <row r="61" spans="1:5" x14ac:dyDescent="0.35">
      <c r="A61" t="s">
        <v>100</v>
      </c>
      <c r="B61">
        <v>0.25600000000000001</v>
      </c>
      <c r="D61">
        <f t="shared" si="4"/>
        <v>0.25600000000000001</v>
      </c>
      <c r="E61">
        <f>-B14+D61</f>
        <v>0.25600000000000001</v>
      </c>
    </row>
    <row r="62" spans="1:5" x14ac:dyDescent="0.35">
      <c r="A62" t="s">
        <v>101</v>
      </c>
      <c r="B62">
        <v>0.48</v>
      </c>
      <c r="D62">
        <f t="shared" si="4"/>
        <v>0.48</v>
      </c>
      <c r="E62">
        <f>-B14+D62</f>
        <v>0.48</v>
      </c>
    </row>
    <row r="63" spans="1:5" x14ac:dyDescent="0.35">
      <c r="A63" t="s">
        <v>102</v>
      </c>
      <c r="B63">
        <v>0.47</v>
      </c>
      <c r="D63">
        <f t="shared" si="4"/>
        <v>0.47</v>
      </c>
      <c r="E63">
        <f>-B14+D63</f>
        <v>0.47</v>
      </c>
    </row>
    <row r="64" spans="1:5" x14ac:dyDescent="0.35">
      <c r="A64" t="s">
        <v>103</v>
      </c>
      <c r="B64">
        <v>0.39600000000000002</v>
      </c>
      <c r="D64">
        <f t="shared" si="4"/>
        <v>0.39600000000000002</v>
      </c>
      <c r="E64">
        <f>-B14+D64</f>
        <v>0.39600000000000002</v>
      </c>
    </row>
    <row r="65" spans="1:5" x14ac:dyDescent="0.35">
      <c r="A65" t="s">
        <v>104</v>
      </c>
      <c r="B65">
        <v>0.29799999999999999</v>
      </c>
      <c r="D65">
        <f t="shared" si="4"/>
        <v>0.29799999999999999</v>
      </c>
      <c r="E65">
        <f>D65-B14</f>
        <v>0.29799999999999999</v>
      </c>
    </row>
    <row r="66" spans="1:5" x14ac:dyDescent="0.35">
      <c r="A66" t="s">
        <v>105</v>
      </c>
      <c r="B66">
        <v>0.33</v>
      </c>
      <c r="D66">
        <f t="shared" si="4"/>
        <v>0.33</v>
      </c>
      <c r="E66">
        <f>-B14+D66</f>
        <v>0.33</v>
      </c>
    </row>
    <row r="67" spans="1:5" x14ac:dyDescent="0.35">
      <c r="A67" t="s">
        <v>106</v>
      </c>
      <c r="B67">
        <v>0.34300000000000003</v>
      </c>
      <c r="D67">
        <f t="shared" si="4"/>
        <v>0.34300000000000003</v>
      </c>
      <c r="E67">
        <f>-B14+D67</f>
        <v>0.34300000000000003</v>
      </c>
    </row>
    <row r="68" spans="1:5" x14ac:dyDescent="0.35">
      <c r="A68" t="s">
        <v>107</v>
      </c>
      <c r="B68">
        <v>0.14199999999999999</v>
      </c>
      <c r="D68">
        <f t="shared" si="4"/>
        <v>0.14199999999999999</v>
      </c>
      <c r="E68">
        <f>-B14+D68</f>
        <v>0.14199999999999999</v>
      </c>
    </row>
    <row r="69" spans="1:5" x14ac:dyDescent="0.35">
      <c r="A69" t="s">
        <v>108</v>
      </c>
      <c r="B69">
        <v>0.219</v>
      </c>
      <c r="D69">
        <f t="shared" si="4"/>
        <v>0.219</v>
      </c>
      <c r="E69">
        <f>D69-B14</f>
        <v>0.219</v>
      </c>
    </row>
    <row r="70" spans="1:5" x14ac:dyDescent="0.35">
      <c r="A70" t="s">
        <v>109</v>
      </c>
      <c r="B70">
        <v>0.317</v>
      </c>
      <c r="D70">
        <f t="shared" si="4"/>
        <v>0.317</v>
      </c>
      <c r="E70">
        <f>D70-B14</f>
        <v>0.317</v>
      </c>
    </row>
    <row r="71" spans="1:5" x14ac:dyDescent="0.35">
      <c r="A71" t="s">
        <v>110</v>
      </c>
      <c r="B71">
        <v>0.22500000000000001</v>
      </c>
      <c r="D71">
        <f t="shared" si="4"/>
        <v>0.22500000000000001</v>
      </c>
      <c r="E71">
        <f>D71-B14</f>
        <v>0.22500000000000001</v>
      </c>
    </row>
    <row r="72" spans="1:5" x14ac:dyDescent="0.35">
      <c r="A72" t="s">
        <v>111</v>
      </c>
      <c r="B72">
        <v>0.34699999999999998</v>
      </c>
      <c r="D72">
        <f t="shared" si="4"/>
        <v>0.34699999999999998</v>
      </c>
      <c r="E72">
        <f>D72-B14</f>
        <v>0.34699999999999998</v>
      </c>
    </row>
    <row r="73" spans="1:5" x14ac:dyDescent="0.35">
      <c r="A73" t="s">
        <v>116</v>
      </c>
      <c r="B73">
        <v>0.375</v>
      </c>
      <c r="D73">
        <f t="shared" si="4"/>
        <v>0.375</v>
      </c>
      <c r="E73">
        <f>D73-B14</f>
        <v>0.375</v>
      </c>
    </row>
    <row r="74" spans="1:5" x14ac:dyDescent="0.35">
      <c r="A74" t="s">
        <v>112</v>
      </c>
      <c r="B74">
        <v>0.3</v>
      </c>
      <c r="D74">
        <f t="shared" si="4"/>
        <v>0.3</v>
      </c>
      <c r="E74">
        <f>D74-B14</f>
        <v>0.3</v>
      </c>
    </row>
    <row r="75" spans="1:5" x14ac:dyDescent="0.35">
      <c r="A75" t="s">
        <v>113</v>
      </c>
      <c r="B75">
        <v>0.28499999999999998</v>
      </c>
      <c r="D75">
        <f t="shared" si="4"/>
        <v>0.28499999999999998</v>
      </c>
      <c r="E75">
        <f>D75-B14</f>
        <v>0.28499999999999998</v>
      </c>
    </row>
    <row r="76" spans="1:5" x14ac:dyDescent="0.35">
      <c r="A76" t="s">
        <v>114</v>
      </c>
      <c r="B76">
        <v>0.45</v>
      </c>
      <c r="D76">
        <f t="shared" si="4"/>
        <v>0.45</v>
      </c>
      <c r="E76">
        <f>D76-B14</f>
        <v>0.45</v>
      </c>
    </row>
    <row r="77" spans="1:5" x14ac:dyDescent="0.35">
      <c r="A77" t="s">
        <v>115</v>
      </c>
      <c r="B77">
        <v>0.24299999999999999</v>
      </c>
      <c r="D77">
        <f t="shared" si="4"/>
        <v>0.24299999999999999</v>
      </c>
      <c r="E77">
        <f>D77-B14</f>
        <v>0.24299999999999999</v>
      </c>
    </row>
    <row r="78" spans="1:5" x14ac:dyDescent="0.35">
      <c r="A78" t="s">
        <v>126</v>
      </c>
      <c r="B78">
        <v>3.7999999999999999E-2</v>
      </c>
      <c r="D78">
        <f t="shared" si="4"/>
        <v>3.7999999999999999E-2</v>
      </c>
      <c r="E78">
        <f>D78-B14</f>
        <v>3.7999999999999999E-2</v>
      </c>
    </row>
    <row r="79" spans="1:5" x14ac:dyDescent="0.35">
      <c r="A79" t="s">
        <v>117</v>
      </c>
      <c r="B79">
        <v>0.28399999999999997</v>
      </c>
      <c r="D79">
        <f t="shared" si="4"/>
        <v>0.28399999999999997</v>
      </c>
      <c r="E79">
        <f>D79-B14</f>
        <v>0.28399999999999997</v>
      </c>
    </row>
    <row r="80" spans="1:5" x14ac:dyDescent="0.35">
      <c r="A80" t="s">
        <v>118</v>
      </c>
      <c r="B80">
        <v>0.247</v>
      </c>
      <c r="D80">
        <f t="shared" si="4"/>
        <v>0.247</v>
      </c>
      <c r="E80">
        <f>D80-B14</f>
        <v>0.247</v>
      </c>
    </row>
    <row r="81" spans="1:5" x14ac:dyDescent="0.35">
      <c r="A81" t="s">
        <v>119</v>
      </c>
      <c r="B81">
        <v>0.29099999999999998</v>
      </c>
      <c r="D81">
        <f t="shared" si="4"/>
        <v>0.29099999999999998</v>
      </c>
      <c r="E81">
        <f>D81-B14</f>
        <v>0.29099999999999998</v>
      </c>
    </row>
    <row r="82" spans="1:5" x14ac:dyDescent="0.35">
      <c r="A82" t="s">
        <v>120</v>
      </c>
      <c r="B82">
        <v>0.16600000000000001</v>
      </c>
      <c r="D82">
        <f t="shared" si="4"/>
        <v>0.16600000000000001</v>
      </c>
      <c r="E82">
        <f>D82-B14</f>
        <v>0.16600000000000001</v>
      </c>
    </row>
    <row r="83" spans="1:5" x14ac:dyDescent="0.35">
      <c r="A83" t="s">
        <v>121</v>
      </c>
      <c r="B83">
        <v>0.217</v>
      </c>
      <c r="D83">
        <f t="shared" si="4"/>
        <v>0.217</v>
      </c>
      <c r="E83">
        <f>D83-B14</f>
        <v>0.217</v>
      </c>
    </row>
    <row r="84" spans="1:5" x14ac:dyDescent="0.35">
      <c r="A84" t="s">
        <v>122</v>
      </c>
      <c r="B84">
        <v>0.2</v>
      </c>
      <c r="D84">
        <f t="shared" si="4"/>
        <v>0.2</v>
      </c>
      <c r="E84">
        <f>D84-B14</f>
        <v>0.2</v>
      </c>
    </row>
    <row r="85" spans="1:5" x14ac:dyDescent="0.35">
      <c r="A85" t="s">
        <v>123</v>
      </c>
      <c r="B85">
        <v>0.11</v>
      </c>
      <c r="D85">
        <f t="shared" si="4"/>
        <v>0.11</v>
      </c>
      <c r="E85">
        <f>D85-B14</f>
        <v>0.11</v>
      </c>
    </row>
    <row r="86" spans="1:5" x14ac:dyDescent="0.35">
      <c r="A86" t="s">
        <v>124</v>
      </c>
      <c r="B86">
        <v>0.25900000000000001</v>
      </c>
      <c r="D86">
        <f t="shared" si="4"/>
        <v>0.25900000000000001</v>
      </c>
      <c r="E86">
        <f>D86-B14</f>
        <v>0.25900000000000001</v>
      </c>
    </row>
    <row r="87" spans="1:5" x14ac:dyDescent="0.35">
      <c r="A87" t="s">
        <v>125</v>
      </c>
      <c r="B87">
        <v>0.191</v>
      </c>
      <c r="D87">
        <f t="shared" si="4"/>
        <v>0.191</v>
      </c>
      <c r="E87">
        <f>D87-B14</f>
        <v>0.191</v>
      </c>
    </row>
  </sheetData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A4553E-2D2C-4696-B7B6-A7A9C5ABB61D}">
  <dimension ref="A1:D86"/>
  <sheetViews>
    <sheetView topLeftCell="A66" workbookViewId="0">
      <selection activeCell="A77" sqref="A77"/>
    </sheetView>
  </sheetViews>
  <sheetFormatPr defaultRowHeight="14.5" x14ac:dyDescent="0.35"/>
  <cols>
    <col min="1" max="1" width="37.6328125" customWidth="1"/>
    <col min="2" max="2" width="31.453125" customWidth="1"/>
    <col min="3" max="3" width="11.453125" customWidth="1"/>
    <col min="4" max="4" width="30.90625" customWidth="1"/>
  </cols>
  <sheetData>
    <row r="1" spans="1:4" x14ac:dyDescent="0.35">
      <c r="A1" s="1" t="s">
        <v>0</v>
      </c>
      <c r="B1" s="1" t="s">
        <v>30</v>
      </c>
      <c r="C1" s="1" t="s">
        <v>35</v>
      </c>
      <c r="D1" s="1" t="s">
        <v>33</v>
      </c>
    </row>
    <row r="2" spans="1:4" x14ac:dyDescent="0.35">
      <c r="A2" t="s">
        <v>1</v>
      </c>
      <c r="B2">
        <v>0.125</v>
      </c>
    </row>
    <row r="3" spans="1:4" x14ac:dyDescent="0.35">
      <c r="A3" t="s">
        <v>2</v>
      </c>
      <c r="B3">
        <f>D3/C3</f>
        <v>0.17028149515459159</v>
      </c>
      <c r="C3">
        <v>4334</v>
      </c>
      <c r="D3">
        <v>738</v>
      </c>
    </row>
    <row r="4" spans="1:4" x14ac:dyDescent="0.35">
      <c r="A4" t="s">
        <v>3</v>
      </c>
      <c r="B4">
        <v>0.13500000000000001</v>
      </c>
    </row>
    <row r="5" spans="1:4" x14ac:dyDescent="0.35">
      <c r="A5" t="s">
        <v>4</v>
      </c>
      <c r="B5">
        <v>0.16600000000000001</v>
      </c>
    </row>
    <row r="6" spans="1:4" x14ac:dyDescent="0.35">
      <c r="A6" t="s">
        <v>5</v>
      </c>
      <c r="B6">
        <f>D6/C6</f>
        <v>0.19451055053149294</v>
      </c>
      <c r="C6">
        <v>6303</v>
      </c>
      <c r="D6">
        <v>1226</v>
      </c>
    </row>
    <row r="7" spans="1:4" x14ac:dyDescent="0.35">
      <c r="A7" t="s">
        <v>6</v>
      </c>
      <c r="B7">
        <v>0.151</v>
      </c>
    </row>
    <row r="8" spans="1:4" x14ac:dyDescent="0.35">
      <c r="A8" t="s">
        <v>7</v>
      </c>
      <c r="B8">
        <v>0.13100000000000001</v>
      </c>
    </row>
    <row r="9" spans="1:4" x14ac:dyDescent="0.35">
      <c r="A9" t="s">
        <v>8</v>
      </c>
      <c r="B9">
        <f>D9/C9</f>
        <v>0.18235170823726682</v>
      </c>
      <c r="C9">
        <v>4771</v>
      </c>
      <c r="D9">
        <v>870</v>
      </c>
    </row>
    <row r="10" spans="1:4" x14ac:dyDescent="0.35">
      <c r="A10" t="s">
        <v>9</v>
      </c>
      <c r="B10">
        <f>D10/C10</f>
        <v>0.13760288065843621</v>
      </c>
      <c r="C10">
        <v>7776</v>
      </c>
      <c r="D10">
        <v>1070</v>
      </c>
    </row>
    <row r="13" spans="1:4" x14ac:dyDescent="0.35">
      <c r="A13" t="s">
        <v>29</v>
      </c>
      <c r="B13" t="s">
        <v>34</v>
      </c>
    </row>
    <row r="15" spans="1:4" x14ac:dyDescent="0.35">
      <c r="A15" t="s">
        <v>44</v>
      </c>
      <c r="B15">
        <v>0.18</v>
      </c>
      <c r="C15">
        <v>12400</v>
      </c>
    </row>
    <row r="16" spans="1:4" x14ac:dyDescent="0.35">
      <c r="A16" t="s">
        <v>45</v>
      </c>
      <c r="B16">
        <v>0.13200000000000001</v>
      </c>
      <c r="C16">
        <v>40646</v>
      </c>
    </row>
    <row r="17" spans="1:3" x14ac:dyDescent="0.35">
      <c r="A17" t="s">
        <v>55</v>
      </c>
      <c r="B17">
        <v>0.29699999999999999</v>
      </c>
      <c r="C17">
        <v>10344</v>
      </c>
    </row>
    <row r="18" spans="1:3" x14ac:dyDescent="0.35">
      <c r="A18" t="s">
        <v>46</v>
      </c>
      <c r="B18">
        <v>0.22</v>
      </c>
      <c r="C18">
        <v>17419</v>
      </c>
    </row>
    <row r="19" spans="1:3" x14ac:dyDescent="0.35">
      <c r="A19" t="s">
        <v>47</v>
      </c>
      <c r="B19">
        <v>0.248</v>
      </c>
      <c r="C19">
        <v>1594</v>
      </c>
    </row>
    <row r="20" spans="1:3" x14ac:dyDescent="0.35">
      <c r="A20" t="s">
        <v>48</v>
      </c>
      <c r="B20">
        <v>0.13900000000000001</v>
      </c>
      <c r="C20">
        <v>7540</v>
      </c>
    </row>
    <row r="21" spans="1:3" x14ac:dyDescent="0.35">
      <c r="A21" t="s">
        <v>54</v>
      </c>
      <c r="B21">
        <v>0.11899999999999999</v>
      </c>
      <c r="C21">
        <v>17463</v>
      </c>
    </row>
    <row r="22" spans="1:3" x14ac:dyDescent="0.35">
      <c r="A22" t="s">
        <v>49</v>
      </c>
      <c r="B22">
        <v>0.255</v>
      </c>
      <c r="C22">
        <v>3789</v>
      </c>
    </row>
    <row r="23" spans="1:3" x14ac:dyDescent="0.35">
      <c r="A23" t="s">
        <v>50</v>
      </c>
      <c r="B23">
        <v>0.14099999999999999</v>
      </c>
      <c r="C23">
        <v>14096</v>
      </c>
    </row>
    <row r="24" spans="1:3" x14ac:dyDescent="0.35">
      <c r="A24" t="s">
        <v>51</v>
      </c>
      <c r="B24">
        <v>0.26600000000000001</v>
      </c>
      <c r="C24">
        <v>3024</v>
      </c>
    </row>
    <row r="25" spans="1:3" x14ac:dyDescent="0.35">
      <c r="A25" t="s">
        <v>52</v>
      </c>
      <c r="B25">
        <v>0.161</v>
      </c>
      <c r="C25">
        <v>17614</v>
      </c>
    </row>
    <row r="26" spans="1:3" x14ac:dyDescent="0.35">
      <c r="A26" t="s">
        <v>57</v>
      </c>
      <c r="B26">
        <v>0.32300000000000001</v>
      </c>
      <c r="C26">
        <v>7032</v>
      </c>
    </row>
    <row r="27" spans="1:3" x14ac:dyDescent="0.35">
      <c r="A27" t="s">
        <v>61</v>
      </c>
      <c r="B27">
        <v>0.11899999999999999</v>
      </c>
    </row>
    <row r="28" spans="1:3" x14ac:dyDescent="0.35">
      <c r="A28" t="s">
        <v>62</v>
      </c>
      <c r="B28">
        <v>0.105</v>
      </c>
    </row>
    <row r="29" spans="1:3" x14ac:dyDescent="0.35">
      <c r="A29" t="s">
        <v>63</v>
      </c>
      <c r="B29">
        <v>0.1</v>
      </c>
    </row>
    <row r="30" spans="1:3" x14ac:dyDescent="0.35">
      <c r="A30" t="s">
        <v>64</v>
      </c>
      <c r="B30">
        <v>7.5999999999999998E-2</v>
      </c>
    </row>
    <row r="31" spans="1:3" x14ac:dyDescent="0.35">
      <c r="A31" t="s">
        <v>65</v>
      </c>
      <c r="B31">
        <v>9.0999999999999998E-2</v>
      </c>
    </row>
    <row r="32" spans="1:3" x14ac:dyDescent="0.35">
      <c r="A32" t="s">
        <v>66</v>
      </c>
      <c r="B32">
        <v>0.11899999999999999</v>
      </c>
    </row>
    <row r="33" spans="1:2" x14ac:dyDescent="0.35">
      <c r="A33" t="s">
        <v>67</v>
      </c>
      <c r="B33">
        <v>0.09</v>
      </c>
    </row>
    <row r="34" spans="1:2" x14ac:dyDescent="0.35">
      <c r="A34" t="s">
        <v>68</v>
      </c>
      <c r="B34">
        <v>0.10100000000000001</v>
      </c>
    </row>
    <row r="35" spans="1:2" x14ac:dyDescent="0.35">
      <c r="A35" t="s">
        <v>69</v>
      </c>
      <c r="B35">
        <v>0.12</v>
      </c>
    </row>
    <row r="36" spans="1:2" x14ac:dyDescent="0.35">
      <c r="A36" t="s">
        <v>70</v>
      </c>
      <c r="B36">
        <v>7.4999999999999997E-2</v>
      </c>
    </row>
    <row r="37" spans="1:2" x14ac:dyDescent="0.35">
      <c r="A37" t="s">
        <v>77</v>
      </c>
      <c r="B37">
        <v>0.27500000000000002</v>
      </c>
    </row>
    <row r="38" spans="1:2" x14ac:dyDescent="0.35">
      <c r="A38" t="s">
        <v>78</v>
      </c>
      <c r="B38">
        <v>0.23</v>
      </c>
    </row>
    <row r="39" spans="1:2" x14ac:dyDescent="0.35">
      <c r="A39" t="s">
        <v>79</v>
      </c>
      <c r="B39">
        <v>0.27500000000000002</v>
      </c>
    </row>
    <row r="40" spans="1:2" x14ac:dyDescent="0.35">
      <c r="A40" t="s">
        <v>80</v>
      </c>
      <c r="B40">
        <v>0.28999999999999998</v>
      </c>
    </row>
    <row r="41" spans="1:2" x14ac:dyDescent="0.35">
      <c r="A41" t="s">
        <v>81</v>
      </c>
      <c r="B41">
        <v>0.26</v>
      </c>
    </row>
    <row r="42" spans="1:2" x14ac:dyDescent="0.35">
      <c r="A42" t="s">
        <v>82</v>
      </c>
      <c r="B42">
        <v>0.2</v>
      </c>
    </row>
    <row r="43" spans="1:2" x14ac:dyDescent="0.35">
      <c r="A43" t="s">
        <v>83</v>
      </c>
      <c r="B43">
        <v>0.21</v>
      </c>
    </row>
    <row r="44" spans="1:2" x14ac:dyDescent="0.35">
      <c r="A44" t="s">
        <v>84</v>
      </c>
      <c r="B44">
        <v>0.11</v>
      </c>
    </row>
    <row r="45" spans="1:2" x14ac:dyDescent="0.35">
      <c r="A45" t="s">
        <v>85</v>
      </c>
      <c r="B45">
        <v>0.26</v>
      </c>
    </row>
    <row r="46" spans="1:2" x14ac:dyDescent="0.35">
      <c r="A46" t="s">
        <v>86</v>
      </c>
      <c r="B46">
        <v>0.19</v>
      </c>
    </row>
    <row r="47" spans="1:2" x14ac:dyDescent="0.35">
      <c r="A47" t="s">
        <v>87</v>
      </c>
      <c r="B47">
        <v>0.156</v>
      </c>
    </row>
    <row r="48" spans="1:2" x14ac:dyDescent="0.35">
      <c r="A48" t="s">
        <v>88</v>
      </c>
      <c r="B48">
        <v>0.156</v>
      </c>
    </row>
    <row r="49" spans="1:2" x14ac:dyDescent="0.35">
      <c r="A49" t="s">
        <v>89</v>
      </c>
      <c r="B49">
        <v>0.13400000000000001</v>
      </c>
    </row>
    <row r="50" spans="1:2" x14ac:dyDescent="0.35">
      <c r="A50" t="s">
        <v>90</v>
      </c>
      <c r="B50">
        <v>0.108</v>
      </c>
    </row>
    <row r="51" spans="1:2" x14ac:dyDescent="0.35">
      <c r="A51" t="s">
        <v>91</v>
      </c>
      <c r="B51">
        <v>0.114</v>
      </c>
    </row>
    <row r="52" spans="1:2" x14ac:dyDescent="0.35">
      <c r="A52" t="s">
        <v>92</v>
      </c>
      <c r="B52">
        <v>0.14199999999999999</v>
      </c>
    </row>
    <row r="53" spans="1:2" x14ac:dyDescent="0.35">
      <c r="A53" t="s">
        <v>94</v>
      </c>
      <c r="B53">
        <v>0.126</v>
      </c>
    </row>
    <row r="54" spans="1:2" x14ac:dyDescent="0.35">
      <c r="A54" t="s">
        <v>93</v>
      </c>
      <c r="B54">
        <v>0.14499999999999999</v>
      </c>
    </row>
    <row r="55" spans="1:2" x14ac:dyDescent="0.35">
      <c r="A55" t="s">
        <v>95</v>
      </c>
      <c r="B55">
        <v>0.13</v>
      </c>
    </row>
    <row r="56" spans="1:2" x14ac:dyDescent="0.35">
      <c r="A56" t="s">
        <v>96</v>
      </c>
      <c r="B56">
        <v>0.23300000000000001</v>
      </c>
    </row>
    <row r="57" spans="1:2" x14ac:dyDescent="0.35">
      <c r="A57" t="s">
        <v>99</v>
      </c>
      <c r="B57">
        <v>0.14799999999999999</v>
      </c>
    </row>
    <row r="58" spans="1:2" x14ac:dyDescent="0.35">
      <c r="A58" t="s">
        <v>97</v>
      </c>
      <c r="B58">
        <v>0.25</v>
      </c>
    </row>
    <row r="59" spans="1:2" x14ac:dyDescent="0.35">
      <c r="A59" t="s">
        <v>98</v>
      </c>
      <c r="B59">
        <v>0.42</v>
      </c>
    </row>
    <row r="60" spans="1:2" x14ac:dyDescent="0.35">
      <c r="A60" t="s">
        <v>100</v>
      </c>
      <c r="B60">
        <v>0.12</v>
      </c>
    </row>
    <row r="61" spans="1:2" x14ac:dyDescent="0.35">
      <c r="A61" t="s">
        <v>101</v>
      </c>
      <c r="B61">
        <v>0.42</v>
      </c>
    </row>
    <row r="62" spans="1:2" x14ac:dyDescent="0.35">
      <c r="A62" t="s">
        <v>102</v>
      </c>
      <c r="B62">
        <v>0.36</v>
      </c>
    </row>
    <row r="63" spans="1:2" x14ac:dyDescent="0.35">
      <c r="A63" t="s">
        <v>103</v>
      </c>
      <c r="B63">
        <v>0.3</v>
      </c>
    </row>
    <row r="64" spans="1:2" x14ac:dyDescent="0.35">
      <c r="A64" t="s">
        <v>104</v>
      </c>
      <c r="B64">
        <v>0.23</v>
      </c>
    </row>
    <row r="65" spans="1:2" x14ac:dyDescent="0.35">
      <c r="A65" t="s">
        <v>105</v>
      </c>
      <c r="B65">
        <v>0.32</v>
      </c>
    </row>
    <row r="66" spans="1:2" x14ac:dyDescent="0.35">
      <c r="A66" t="s">
        <v>106</v>
      </c>
      <c r="B66">
        <v>0.3</v>
      </c>
    </row>
    <row r="67" spans="1:2" x14ac:dyDescent="0.35">
      <c r="A67" t="s">
        <v>107</v>
      </c>
      <c r="B67">
        <v>9.8000000000000004E-2</v>
      </c>
    </row>
    <row r="68" spans="1:2" x14ac:dyDescent="0.35">
      <c r="A68" t="s">
        <v>108</v>
      </c>
      <c r="B68">
        <v>9.1999999999999998E-2</v>
      </c>
    </row>
    <row r="69" spans="1:2" x14ac:dyDescent="0.35">
      <c r="A69" t="s">
        <v>109</v>
      </c>
      <c r="B69">
        <v>0.129</v>
      </c>
    </row>
    <row r="70" spans="1:2" x14ac:dyDescent="0.35">
      <c r="A70" t="s">
        <v>110</v>
      </c>
      <c r="B70">
        <v>0.112</v>
      </c>
    </row>
    <row r="71" spans="1:2" x14ac:dyDescent="0.35">
      <c r="A71" t="s">
        <v>111</v>
      </c>
      <c r="B71">
        <v>8.8999999999999996E-2</v>
      </c>
    </row>
    <row r="72" spans="1:2" x14ac:dyDescent="0.35">
      <c r="A72" t="s">
        <v>116</v>
      </c>
      <c r="B72">
        <v>0.14799999999999999</v>
      </c>
    </row>
    <row r="73" spans="1:2" x14ac:dyDescent="0.35">
      <c r="A73" t="s">
        <v>112</v>
      </c>
      <c r="B73">
        <v>0.13400000000000001</v>
      </c>
    </row>
    <row r="74" spans="1:2" x14ac:dyDescent="0.35">
      <c r="A74" t="s">
        <v>113</v>
      </c>
      <c r="B74">
        <v>0.11799999999999999</v>
      </c>
    </row>
    <row r="75" spans="1:2" x14ac:dyDescent="0.35">
      <c r="A75" t="s">
        <v>114</v>
      </c>
      <c r="B75">
        <v>0.23499999999999999</v>
      </c>
    </row>
    <row r="76" spans="1:2" x14ac:dyDescent="0.35">
      <c r="A76" t="s">
        <v>115</v>
      </c>
      <c r="B76">
        <v>7.3999999999999996E-2</v>
      </c>
    </row>
    <row r="77" spans="1:2" x14ac:dyDescent="0.35">
      <c r="A77" t="s">
        <v>126</v>
      </c>
      <c r="B77">
        <v>0.14000000000000001</v>
      </c>
    </row>
    <row r="78" spans="1:2" x14ac:dyDescent="0.35">
      <c r="A78" t="s">
        <v>117</v>
      </c>
      <c r="B78">
        <v>0.18</v>
      </c>
    </row>
    <row r="79" spans="1:2" x14ac:dyDescent="0.35">
      <c r="A79" t="s">
        <v>118</v>
      </c>
      <c r="B79">
        <v>0.2</v>
      </c>
    </row>
    <row r="80" spans="1:2" x14ac:dyDescent="0.35">
      <c r="A80" t="s">
        <v>119</v>
      </c>
      <c r="B80">
        <v>0.19</v>
      </c>
    </row>
    <row r="81" spans="1:2" x14ac:dyDescent="0.35">
      <c r="A81" t="s">
        <v>120</v>
      </c>
      <c r="B81">
        <v>0.13</v>
      </c>
    </row>
    <row r="82" spans="1:2" x14ac:dyDescent="0.35">
      <c r="A82" t="s">
        <v>121</v>
      </c>
      <c r="B82">
        <v>0.16</v>
      </c>
    </row>
    <row r="83" spans="1:2" x14ac:dyDescent="0.35">
      <c r="A83" t="s">
        <v>122</v>
      </c>
      <c r="B83">
        <v>0.15</v>
      </c>
    </row>
    <row r="84" spans="1:2" x14ac:dyDescent="0.35">
      <c r="A84" t="s">
        <v>123</v>
      </c>
      <c r="B84">
        <v>0.1</v>
      </c>
    </row>
    <row r="85" spans="1:2" x14ac:dyDescent="0.35">
      <c r="A85" t="s">
        <v>124</v>
      </c>
      <c r="B85">
        <v>0.18</v>
      </c>
    </row>
    <row r="86" spans="1:2" x14ac:dyDescent="0.35">
      <c r="A86" t="s">
        <v>125</v>
      </c>
      <c r="B86">
        <v>0.15</v>
      </c>
    </row>
  </sheetData>
  <pageMargins left="0.7" right="0.7" top="0.75" bottom="0.75" header="0.3" footer="0.3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D4A152-1D18-4A1E-9849-47D5D6C7060A}">
  <dimension ref="A1:C15"/>
  <sheetViews>
    <sheetView workbookViewId="0">
      <selection activeCell="B15" sqref="B15"/>
    </sheetView>
  </sheetViews>
  <sheetFormatPr defaultRowHeight="14.5" x14ac:dyDescent="0.35"/>
  <cols>
    <col min="1" max="1" width="28.36328125" customWidth="1"/>
    <col min="2" max="2" width="84.26953125" customWidth="1"/>
    <col min="3" max="3" width="56.08984375" customWidth="1"/>
  </cols>
  <sheetData>
    <row r="1" spans="1:3" x14ac:dyDescent="0.35">
      <c r="A1" s="1" t="s">
        <v>0</v>
      </c>
    </row>
    <row r="2" spans="1:3" x14ac:dyDescent="0.35">
      <c r="A2" t="s">
        <v>1</v>
      </c>
      <c r="B2" s="3" t="s">
        <v>15</v>
      </c>
    </row>
    <row r="3" spans="1:3" x14ac:dyDescent="0.35">
      <c r="A3" t="s">
        <v>2</v>
      </c>
      <c r="B3" s="3" t="s">
        <v>14</v>
      </c>
    </row>
    <row r="4" spans="1:3" x14ac:dyDescent="0.35">
      <c r="A4" t="s">
        <v>3</v>
      </c>
      <c r="B4" s="3" t="s">
        <v>17</v>
      </c>
    </row>
    <row r="5" spans="1:3" x14ac:dyDescent="0.35">
      <c r="A5" t="s">
        <v>4</v>
      </c>
      <c r="B5" s="3" t="s">
        <v>18</v>
      </c>
    </row>
    <row r="6" spans="1:3" x14ac:dyDescent="0.35">
      <c r="A6" t="s">
        <v>5</v>
      </c>
      <c r="B6" s="3" t="s">
        <v>19</v>
      </c>
    </row>
    <row r="7" spans="1:3" x14ac:dyDescent="0.35">
      <c r="A7" t="s">
        <v>6</v>
      </c>
      <c r="B7" s="3" t="s">
        <v>20</v>
      </c>
    </row>
    <row r="8" spans="1:3" x14ac:dyDescent="0.35">
      <c r="A8" t="s">
        <v>7</v>
      </c>
      <c r="B8" s="3" t="s">
        <v>21</v>
      </c>
    </row>
    <row r="9" spans="1:3" x14ac:dyDescent="0.35">
      <c r="A9" t="s">
        <v>8</v>
      </c>
      <c r="B9" s="3" t="s">
        <v>22</v>
      </c>
    </row>
    <row r="10" spans="1:3" x14ac:dyDescent="0.35">
      <c r="A10" t="s">
        <v>9</v>
      </c>
      <c r="B10" s="3" t="s">
        <v>16</v>
      </c>
    </row>
    <row r="12" spans="1:3" x14ac:dyDescent="0.35">
      <c r="A12" s="1" t="s">
        <v>26</v>
      </c>
      <c r="B12" s="3" t="s">
        <v>25</v>
      </c>
      <c r="C12" s="3" t="s">
        <v>53</v>
      </c>
    </row>
    <row r="13" spans="1:3" ht="20" customHeight="1" x14ac:dyDescent="0.35">
      <c r="A13" s="1" t="s">
        <v>28</v>
      </c>
      <c r="B13" s="3" t="s">
        <v>60</v>
      </c>
    </row>
    <row r="14" spans="1:3" x14ac:dyDescent="0.35">
      <c r="A14" s="1" t="s">
        <v>31</v>
      </c>
      <c r="B14" s="3" t="s">
        <v>32</v>
      </c>
    </row>
    <row r="15" spans="1:3" x14ac:dyDescent="0.35">
      <c r="A15" s="1" t="s">
        <v>75</v>
      </c>
      <c r="B15" s="3" t="s">
        <v>76</v>
      </c>
    </row>
  </sheetData>
  <hyperlinks>
    <hyperlink ref="B3" r:id="rId1" xr:uid="{2F27E3EE-E573-4EE2-81F5-0B780EA2D236}"/>
    <hyperlink ref="B2" r:id="rId2" xr:uid="{6EEC12AC-2F81-4699-B3DA-E89B6CFC22F0}"/>
    <hyperlink ref="B10" r:id="rId3" xr:uid="{2BE209D6-3A5C-4704-93EF-34D1E31ADAE8}"/>
    <hyperlink ref="B4" r:id="rId4" xr:uid="{65FEA17E-643C-497F-A399-C795273AC694}"/>
    <hyperlink ref="B5" r:id="rId5" xr:uid="{175992D5-7181-4760-9333-8A637399C5B8}"/>
    <hyperlink ref="B6" r:id="rId6" xr:uid="{337ADF22-E877-4778-9A00-D71BCB8EDB0D}"/>
    <hyperlink ref="B7" r:id="rId7" xr:uid="{E1778327-1346-42B4-AC9D-6D5E840DAEDF}"/>
    <hyperlink ref="B8" r:id="rId8" xr:uid="{18F345C8-38AC-408C-9DE0-0AFA0095350E}"/>
    <hyperlink ref="B9" r:id="rId9" xr:uid="{69017BDC-2C15-484A-80EC-3FBBCD85F7CA}"/>
    <hyperlink ref="B12" r:id="rId10" xr:uid="{BF94DA08-C29B-4CCE-AE31-085E8A9DA17F}"/>
    <hyperlink ref="B13" r:id="rId11" display="https://www.healthstats.nsw.gov.au/indicator?name=-beh-alc-freq-phs&amp;location=LHD&amp;view=Trend&amp;measure=prevalence&amp;groups=Drinking%20frequency&amp;compare=Drinking%20frequency&amp;filter=LHD,Sydney%20LHD&amp;filter=Drinking%20frequency,Never,Less%20than%20weekly,Weekly,Daily" xr:uid="{3259413D-9F00-4270-AA7D-68F211F3BD43}"/>
    <hyperlink ref="B14" r:id="rId12" xr:uid="{422C2A05-EE76-4D59-97D7-4108FE2066C3}"/>
    <hyperlink ref="C12" r:id="rId13" xr:uid="{20379797-9A1E-48DB-A8E4-82F3B95D0697}"/>
    <hyperlink ref="B15" r:id="rId14" xr:uid="{E01B0894-F66E-4C7B-84FE-06B038973855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Crime Stats Per Suburb</vt:lpstr>
      <vt:lpstr>Education</vt:lpstr>
      <vt:lpstr>Alcohol Consumption</vt:lpstr>
      <vt:lpstr>Unemployment</vt:lpstr>
      <vt:lpstr>Poverty</vt:lpstr>
      <vt:lpstr>Sources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Oscar Peer</dc:creator>
  <cp:lastModifiedBy>Oscar Peer</cp:lastModifiedBy>
  <dcterms:created xsi:type="dcterms:W3CDTF">2015-06-05T18:17:20Z</dcterms:created>
  <dcterms:modified xsi:type="dcterms:W3CDTF">2026-04-04T06:40:21Z</dcterms:modified>
</cp:coreProperties>
</file>